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7B1A2D16-A220-4449-89A1-72C6DE4C46C4}" xr6:coauthVersionLast="47" xr6:coauthVersionMax="47" xr10:uidLastSave="{00000000-0000-0000-0000-000000000000}"/>
  <bookViews>
    <workbookView xWindow="-120" yWindow="-120" windowWidth="21840" windowHeight="13020" xr2:uid="{A7938FE9-23F9-48A2-982A-0C547FE92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9" i="1" l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90" i="1" l="1"/>
</calcChain>
</file>

<file path=xl/sharedStrings.xml><?xml version="1.0" encoding="utf-8"?>
<sst xmlns="http://schemas.openxmlformats.org/spreadsheetml/2006/main" count="204" uniqueCount="121">
  <si>
    <t>PROFORMA INVOICE</t>
  </si>
  <si>
    <t>EXPORTER</t>
  </si>
  <si>
    <t>BUYER</t>
  </si>
  <si>
    <t>NOTIFY</t>
  </si>
  <si>
    <t xml:space="preserve"> </t>
  </si>
  <si>
    <t xml:space="preserve">KWIK PATCH PRIVATE LIMITED        </t>
  </si>
  <si>
    <t>MYERS TIRE SUPPLY</t>
  </si>
  <si>
    <t>MYERS TIRE SUPPLY DISTRIBUTION INC</t>
  </si>
  <si>
    <t>First Floor, No. 2 Sree Ganesh,</t>
  </si>
  <si>
    <t>1293 SOUTH MAIN ST , AKRON OHIO 44301</t>
  </si>
  <si>
    <t>6th Street, K.V. Colony,</t>
  </si>
  <si>
    <t>TEL :330-253-5592</t>
  </si>
  <si>
    <t>West Mambalam, Chennai 600 033.</t>
  </si>
  <si>
    <t>E-Mail:: dtemple@myerstiresupply.com</t>
  </si>
  <si>
    <t>Email : menon@kwikpatch.com</t>
  </si>
  <si>
    <t>Tel :330-761-6146</t>
  </si>
  <si>
    <t>tel :330-761-6146</t>
  </si>
  <si>
    <t>PI NO. 052 DATED 10.06.2026 AGAINST PO NO. 256962 DATED 07.06.2026</t>
  </si>
  <si>
    <t>DEAR SIRS,</t>
  </si>
  <si>
    <t>WE SHALL ARRANGE TO SUPPLY THE FOLLOWING ITEMS, AS REQUESTED BY YOU ON FOB</t>
  </si>
  <si>
    <t>AS PER PER PRICE, TERMS &amp; CONDITIONS QUOTED HEREUNDER:-</t>
  </si>
  <si>
    <t>MODE OF SHIPMENT</t>
  </si>
  <si>
    <t>BY SEA</t>
  </si>
  <si>
    <t>FOB</t>
  </si>
  <si>
    <t>PRODUCT CODE</t>
  </si>
  <si>
    <t>PRODUCT DESCRIPTION</t>
  </si>
  <si>
    <t>QTY PER BOX</t>
  </si>
  <si>
    <t>TOTAL ORDER BOXES</t>
  </si>
  <si>
    <t>TOTAL NO.OF UNITS</t>
  </si>
  <si>
    <t>PRICE/BOX IN USD</t>
  </si>
  <si>
    <t>PER</t>
  </si>
  <si>
    <t>TOTAL VALUE IN USD</t>
  </si>
  <si>
    <t>SPECIFICATIONS</t>
  </si>
  <si>
    <t>Patch PR 3 Chemical Cure</t>
  </si>
  <si>
    <t>BOX</t>
  </si>
  <si>
    <t>Patch PR 7A Chemical Cure</t>
  </si>
  <si>
    <t>Patch PR 4 Chemical Cure</t>
  </si>
  <si>
    <t>Patch PR 6 Chemical Cure</t>
  </si>
  <si>
    <t>Patch CX 3 Bias Repair</t>
  </si>
  <si>
    <t>PATCH CX 4 BIAS REPAIR</t>
  </si>
  <si>
    <t xml:space="preserve">BUL DC 80 Tractor </t>
  </si>
  <si>
    <t xml:space="preserve">BUL DC 82 Tractor </t>
  </si>
  <si>
    <t xml:space="preserve">BUL DC 84Tractor </t>
  </si>
  <si>
    <t xml:space="preserve">BUL DC 86 Tractor </t>
  </si>
  <si>
    <t>BUL DC45</t>
  </si>
  <si>
    <t>Patch CX DC 3-2 Bias Repair</t>
  </si>
  <si>
    <t>Patch CX DC 4-2 Bias Repair</t>
  </si>
  <si>
    <t xml:space="preserve">CX DC 6-2 </t>
  </si>
  <si>
    <t xml:space="preserve">CX DC 5-3 </t>
  </si>
  <si>
    <t>SMALL RADIAL</t>
  </si>
  <si>
    <t>BUL 2-DC10</t>
  </si>
  <si>
    <t>Patch Bullseye 2 Dual Cure 12</t>
  </si>
  <si>
    <t>Patch Bullseye 2 Dual Cure 14</t>
  </si>
  <si>
    <t>Patch Bullseye 2 Dual Cure 20</t>
  </si>
  <si>
    <t>Patch, Bullseye2 - Dual Cure 22</t>
  </si>
  <si>
    <t>Patch, Bullseye2 - Dual Cure 24</t>
  </si>
  <si>
    <t>Patch, Bullseye2 - Dual Cure 33</t>
  </si>
  <si>
    <t>Patch, Bullseye2 - Dual Cure 37</t>
  </si>
  <si>
    <t>Patch, Bullseye2 - Dual Cure 40</t>
  </si>
  <si>
    <t>Patch, Bullseye2 - Dual Cure 44</t>
  </si>
  <si>
    <t>Patch, Bullseye2 - Heat Cure 22</t>
  </si>
  <si>
    <t>Patch, Bullseye2 - Heat Cure 40</t>
  </si>
  <si>
    <t>Patch, Bullseye2 - Heat Cure 42</t>
  </si>
  <si>
    <t>Patch, Bullseye2 - Heat Cure 44</t>
  </si>
  <si>
    <t>Patch 1/8" Pilot Patch Plugs</t>
  </si>
  <si>
    <t>Patch 3/8" Pilot Patch Plugs</t>
  </si>
  <si>
    <t>Patch SR RD DC Patch</t>
  </si>
  <si>
    <t>Patch MR RD DC Patch</t>
  </si>
  <si>
    <t>Patch LR RD DC Patch</t>
  </si>
  <si>
    <t>Patch Universal UP 1 Patches,</t>
  </si>
  <si>
    <t>Patch Universal UP 2 Patches</t>
  </si>
  <si>
    <t>Patch TB UP 2, Box of 200</t>
  </si>
  <si>
    <t>Patch TB UP 3, Box of 150</t>
  </si>
  <si>
    <t>Patch TB UP 1, Box of 250</t>
  </si>
  <si>
    <t>PASS BOWTIE (50/BX)</t>
  </si>
  <si>
    <t>Patch 1/4" Plug Stems</t>
  </si>
  <si>
    <t>Patch 3/8" Plug Stems</t>
  </si>
  <si>
    <t>Patch 1/4" Mono Fil Insert</t>
  </si>
  <si>
    <t>PATCH TRUCK HD STRINGS BROWN</t>
  </si>
  <si>
    <t>BAG</t>
  </si>
  <si>
    <t>STRING SKNYBLK PRC 50/BG</t>
  </si>
  <si>
    <t>Vulcatek CVUP 1</t>
  </si>
  <si>
    <t>Vulcatek CVUP 3</t>
  </si>
  <si>
    <t>CVB 32</t>
  </si>
  <si>
    <t>Vulcatek CVB 52 Bias Patch</t>
  </si>
  <si>
    <t>Vulcatek CVR 10 Radial</t>
  </si>
  <si>
    <t>Vulcatek CVR 20 Radial</t>
  </si>
  <si>
    <t>Vulcatek CVR 42  Radial</t>
  </si>
  <si>
    <t>1/4" Pilot Wire Plug Stems</t>
  </si>
  <si>
    <t>Vulcatek 1/8" Pilot Wire Patc</t>
  </si>
  <si>
    <t>Vulcatek 1/4" Pilot Wire Patc</t>
  </si>
  <si>
    <t>Vulcatek 3/8" Pilot Wire Patc</t>
  </si>
  <si>
    <t>Ready Patch 1/8 Pilot WirePlu</t>
  </si>
  <si>
    <t>Ready Patch 1/4 Pilot WirePlu</t>
  </si>
  <si>
    <t>Ready Patch 3/8 Pilot WirePlu</t>
  </si>
  <si>
    <t xml:space="preserve">Ready Patch Ready Patch Round Tube, Sml </t>
  </si>
  <si>
    <t>Ready Patch Small Radial Patch</t>
  </si>
  <si>
    <t>Ready Patch Round Radial , Medium Round</t>
  </si>
  <si>
    <t>Patch 1/8" Quill Combi</t>
  </si>
  <si>
    <t>Patch 1/4" Quill Combi</t>
  </si>
  <si>
    <t>Patch 5/16" Quill Combi</t>
  </si>
  <si>
    <t>RSR Small Round Patches</t>
  </si>
  <si>
    <t>RMR Medium Round Patches</t>
  </si>
  <si>
    <t>RLR Large Round Patches</t>
  </si>
  <si>
    <t>98591CB</t>
  </si>
  <si>
    <t>Patch Bullseye 46 Cloth Back</t>
  </si>
  <si>
    <t>98592CB</t>
  </si>
  <si>
    <t>Patch Bullseye  50 Cloth Back</t>
  </si>
  <si>
    <t>Patch 1/8" Pilot Wire Plug</t>
  </si>
  <si>
    <t>Patch 1/4" Pilot Patch Plug B</t>
  </si>
  <si>
    <t>Temporary Tire Repair String</t>
  </si>
  <si>
    <t>TOTAL IN USD</t>
  </si>
  <si>
    <t>PAYMENT TERMS</t>
  </si>
  <si>
    <t>60 DAYS</t>
  </si>
  <si>
    <t>SHIPPING MARKS</t>
  </si>
  <si>
    <t>SHIPMENT</t>
  </si>
  <si>
    <t>TO SHIP FROM FACTORY BY 16th AUG 2026 TO REACH BY 16TH NOV 2026</t>
  </si>
  <si>
    <t>FREIGHT VIA CH ROBINSON</t>
  </si>
  <si>
    <t xml:space="preserve"> For MYERS TIRE SUPPLY</t>
  </si>
  <si>
    <t>AUTHORISED SIGNATORY.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</si>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</sst>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_(* #,##0.00_);_(* \(#,##0.00\);_(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sz val="18"/>
      <color theme="1"/>
      <name val="Tahoma"/>
      <family val="2"/>
    </font>
    <font>
      <b/>
      <sz val="16"/>
      <color theme="1"/>
      <name val="Tahoma"/>
      <family val="2"/>
    </font>
    <font>
      <b/>
      <sz val="14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4"/>
      <name val="Tahoma"/>
      <family val="2"/>
    </font>
    <font>
      <sz val="18"/>
      <name val="Calibri"/>
      <family val="2"/>
    </font>
    <font>
      <sz val="18"/>
      <color theme="1"/>
      <name val="Calibri"/>
      <family val="2"/>
    </font>
    <font>
      <sz val="16"/>
      <name val="Aptos Narrow"/>
      <family val="2"/>
      <scheme val="minor"/>
    </font>
    <font>
      <sz val="18"/>
      <name val="Aptos Narrow"/>
      <family val="2"/>
      <scheme val="minor"/>
    </font>
    <font>
      <b/>
      <sz val="16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name val="Calibri"/>
      <family val="2"/>
    </font>
    <font>
      <b/>
      <sz val="20"/>
      <name val="Calibri"/>
      <family val="2"/>
    </font>
    <font>
      <b/>
      <sz val="20"/>
      <name val="Tahoma"/>
      <family val="2"/>
    </font>
    <font>
      <b/>
      <sz val="22"/>
      <name val="Calibri"/>
      <family val="2"/>
    </font>
    <font>
      <b/>
      <sz val="22"/>
      <name val="Tahoma"/>
      <family val="2"/>
    </font>
    <font>
      <b/>
      <sz val="2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44">
    <xf numFmtId="0" fontId="0" fillId="0" borderId="0" xfId="0"/>
    <xf numFmtId="0" fontId="0" fillId="3" borderId="0" xfId="0" applyFill="1"/>
    <xf numFmtId="164" fontId="5" fillId="3" borderId="2" xfId="0" applyNumberFormat="1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top"/>
    </xf>
    <xf numFmtId="0" fontId="8" fillId="3" borderId="15" xfId="0" applyFont="1" applyFill="1" applyBorder="1"/>
    <xf numFmtId="0" fontId="8" fillId="3" borderId="13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0" fontId="8" fillId="3" borderId="19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2" fontId="6" fillId="3" borderId="2" xfId="0" applyNumberFormat="1" applyFont="1" applyFill="1" applyBorder="1" applyAlignment="1">
      <alignment horizontal="right"/>
    </xf>
    <xf numFmtId="0" fontId="6" fillId="3" borderId="3" xfId="0" applyFont="1" applyFill="1" applyBorder="1"/>
    <xf numFmtId="0" fontId="6" fillId="3" borderId="14" xfId="0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2" fontId="6" fillId="3" borderId="0" xfId="0" applyNumberFormat="1" applyFont="1" applyFill="1" applyAlignment="1">
      <alignment horizontal="right"/>
    </xf>
    <xf numFmtId="0" fontId="6" fillId="3" borderId="19" xfId="0" applyFont="1" applyFill="1" applyBorder="1"/>
    <xf numFmtId="164" fontId="7" fillId="3" borderId="0" xfId="0" applyNumberFormat="1" applyFont="1" applyFill="1" applyAlignment="1">
      <alignment horizontal="left"/>
    </xf>
    <xf numFmtId="0" fontId="9" fillId="5" borderId="3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165" fontId="10" fillId="5" borderId="15" xfId="0" applyNumberFormat="1" applyFont="1" applyFill="1" applyBorder="1" applyAlignment="1">
      <alignment horizontal="center" vertical="center" wrapText="1"/>
    </xf>
    <xf numFmtId="2" fontId="9" fillId="5" borderId="15" xfId="0" applyNumberFormat="1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2" fontId="9" fillId="7" borderId="15" xfId="0" applyNumberFormat="1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9" fillId="5" borderId="15" xfId="0" applyNumberFormat="1" applyFont="1" applyFill="1" applyBorder="1" applyAlignment="1">
      <alignment horizontal="center" vertical="center" wrapText="1"/>
    </xf>
    <xf numFmtId="2" fontId="12" fillId="3" borderId="33" xfId="0" applyNumberFormat="1" applyFont="1" applyFill="1" applyBorder="1" applyAlignment="1">
      <alignment horizontal="center" vertical="center" wrapText="1"/>
    </xf>
    <xf numFmtId="2" fontId="13" fillId="3" borderId="34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15" fontId="7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2" fontId="6" fillId="3" borderId="0" xfId="1" applyNumberFormat="1" applyFont="1" applyFill="1" applyBorder="1" applyAlignment="1">
      <alignment horizontal="right"/>
    </xf>
    <xf numFmtId="0" fontId="7" fillId="3" borderId="19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0" fillId="3" borderId="19" xfId="0" applyFill="1" applyBorder="1"/>
    <xf numFmtId="0" fontId="6" fillId="3" borderId="0" xfId="0" applyFont="1" applyFill="1" applyAlignment="1">
      <alignment horizontal="center"/>
    </xf>
    <xf numFmtId="0" fontId="7" fillId="3" borderId="41" xfId="0" applyFont="1" applyFill="1" applyBorder="1"/>
    <xf numFmtId="0" fontId="7" fillId="3" borderId="23" xfId="0" applyFont="1" applyFill="1" applyBorder="1"/>
    <xf numFmtId="0" fontId="6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2" fontId="15" fillId="6" borderId="15" xfId="0" applyNumberFormat="1" applyFont="1" applyFill="1" applyBorder="1" applyAlignment="1">
      <alignment horizontal="center" vertical="center" wrapText="1"/>
    </xf>
    <xf numFmtId="0" fontId="16" fillId="6" borderId="31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2" fontId="16" fillId="6" borderId="15" xfId="0" applyNumberFormat="1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66" fontId="15" fillId="6" borderId="15" xfId="0" applyNumberFormat="1" applyFont="1" applyFill="1" applyBorder="1" applyAlignment="1">
      <alignment horizontal="center" vertical="center" wrapText="1"/>
    </xf>
    <xf numFmtId="0" fontId="18" fillId="6" borderId="31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165" fontId="18" fillId="6" borderId="15" xfId="0" applyNumberFormat="1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 vertical="center" wrapText="1"/>
    </xf>
    <xf numFmtId="2" fontId="18" fillId="6" borderId="15" xfId="0" applyNumberFormat="1" applyFont="1" applyFill="1" applyBorder="1" applyAlignment="1">
      <alignment horizontal="center"/>
    </xf>
    <xf numFmtId="0" fontId="19" fillId="6" borderId="16" xfId="0" applyFont="1" applyFill="1" applyBorder="1" applyAlignment="1">
      <alignment horizontal="center" vertical="center" wrapText="1"/>
    </xf>
    <xf numFmtId="0" fontId="18" fillId="6" borderId="31" xfId="0" applyFont="1" applyFill="1" applyBorder="1" applyAlignment="1">
      <alignment horizontal="center" vertical="center" wrapText="1"/>
    </xf>
    <xf numFmtId="165" fontId="18" fillId="6" borderId="15" xfId="0" applyNumberFormat="1" applyFont="1" applyFill="1" applyBorder="1" applyAlignment="1">
      <alignment horizontal="center" vertical="center" wrapText="1"/>
    </xf>
    <xf numFmtId="2" fontId="18" fillId="6" borderId="15" xfId="0" applyNumberFormat="1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2" fontId="20" fillId="6" borderId="15" xfId="0" applyNumberFormat="1" applyFont="1" applyFill="1" applyBorder="1" applyAlignment="1">
      <alignment horizontal="center" vertical="center" wrapText="1"/>
    </xf>
    <xf numFmtId="165" fontId="20" fillId="6" borderId="15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64" fontId="5" fillId="3" borderId="7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5" fillId="3" borderId="8" xfId="0" applyNumberFormat="1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35" xfId="0" applyFont="1" applyFill="1" applyBorder="1" applyAlignment="1">
      <alignment horizontal="left"/>
    </xf>
    <xf numFmtId="0" fontId="7" fillId="3" borderId="36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22" xfId="0" applyFont="1" applyFill="1" applyBorder="1" applyAlignment="1">
      <alignment horizontal="center" vertical="top"/>
    </xf>
    <xf numFmtId="164" fontId="7" fillId="3" borderId="23" xfId="0" applyNumberFormat="1" applyFont="1" applyFill="1" applyBorder="1" applyAlignment="1">
      <alignment horizontal="center"/>
    </xf>
    <xf numFmtId="164" fontId="7" fillId="3" borderId="24" xfId="0" applyNumberFormat="1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2" fontId="7" fillId="2" borderId="29" xfId="0" applyNumberFormat="1" applyFont="1" applyFill="1" applyBorder="1" applyAlignment="1">
      <alignment horizontal="center" vertical="center" wrapText="1"/>
    </xf>
    <xf numFmtId="2" fontId="7" fillId="2" borderId="15" xfId="0" applyNumberFormat="1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right" vertical="center" wrapText="1"/>
    </xf>
    <xf numFmtId="0" fontId="11" fillId="3" borderId="21" xfId="0" applyFont="1" applyFill="1" applyBorder="1" applyAlignment="1">
      <alignment horizontal="right" vertical="center" wrapText="1"/>
    </xf>
    <xf numFmtId="0" fontId="11" fillId="3" borderId="32" xfId="0" applyFont="1" applyFill="1" applyBorder="1" applyAlignment="1">
      <alignment horizontal="right" vertical="center" wrapText="1"/>
    </xf>
    <xf numFmtId="0" fontId="7" fillId="3" borderId="37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38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left" vertical="center"/>
    </xf>
    <xf numFmtId="0" fontId="7" fillId="3" borderId="40" xfId="0" applyFont="1" applyFill="1" applyBorder="1" applyAlignment="1">
      <alignment horizontal="left" vertical="center"/>
    </xf>
    <xf numFmtId="15" fontId="7" fillId="3" borderId="15" xfId="0" applyNumberFormat="1" applyFont="1" applyFill="1" applyBorder="1" applyAlignment="1">
      <alignment horizontal="left" wrapText="1"/>
    </xf>
    <xf numFmtId="15" fontId="7" fillId="3" borderId="16" xfId="0" applyNumberFormat="1" applyFont="1" applyFill="1" applyBorder="1" applyAlignment="1">
      <alignment horizontal="left" wrapText="1"/>
    </xf>
    <xf numFmtId="15" fontId="7" fillId="3" borderId="12" xfId="0" applyNumberFormat="1" applyFont="1" applyFill="1" applyBorder="1" applyAlignment="1">
      <alignment horizontal="left"/>
    </xf>
    <xf numFmtId="15" fontId="7" fillId="3" borderId="10" xfId="0" applyNumberFormat="1" applyFont="1" applyFill="1" applyBorder="1" applyAlignment="1">
      <alignment horizontal="left"/>
    </xf>
    <xf numFmtId="15" fontId="7" fillId="3" borderId="13" xfId="0" applyNumberFormat="1" applyFont="1" applyFill="1" applyBorder="1" applyAlignment="1">
      <alignment horizontal="left"/>
    </xf>
    <xf numFmtId="0" fontId="14" fillId="3" borderId="42" xfId="0" applyFont="1" applyFill="1" applyBorder="1" applyAlignment="1">
      <alignment horizontal="center" vertical="center" textRotation="90"/>
    </xf>
    <xf numFmtId="0" fontId="14" fillId="3" borderId="43" xfId="0" applyFont="1" applyFill="1" applyBorder="1" applyAlignment="1">
      <alignment horizontal="center" vertical="center" textRotation="90"/>
    </xf>
    <xf numFmtId="0" fontId="14" fillId="3" borderId="44" xfId="0" applyFont="1" applyFill="1" applyBorder="1" applyAlignment="1">
      <alignment horizontal="center" vertical="center" textRotation="90"/>
    </xf>
    <xf numFmtId="164" fontId="7" fillId="3" borderId="0" xfId="0" applyNumberFormat="1" applyFont="1" applyFill="1" applyAlignment="1">
      <alignment horizontal="center"/>
    </xf>
    <xf numFmtId="164" fontId="7" fillId="3" borderId="19" xfId="0" applyNumberFormat="1" applyFont="1" applyFill="1" applyBorder="1" applyAlignment="1">
      <alignment horizontal="center"/>
    </xf>
  </cellXfs>
  <cellStyles count="2">
    <cellStyle name="Comma 2" xfId="1" xr:uid="{8E6A8A11-7951-4ED5-95F7-4D4354DE9D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141968</xdr:colOff>
      <xdr:row>2</xdr:row>
      <xdr:rowOff>46264</xdr:rowOff>
    </xdr:from>
    <xdr:to>
      <xdr:col>1</xdr:col>
      <xdr:colOff>1263287</xdr:colOff>
      <xdr:row>10</xdr:row>
      <xdr:rowOff>97793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1A35606F-53A7-45A0-8534-505C4F99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68" y="589189"/>
          <a:ext cx="1121319" cy="1575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397099</xdr:colOff>
      <xdr:row>95</xdr:row>
      <xdr:rowOff>54430</xdr:rowOff>
    </xdr:from>
    <xdr:to>
      <xdr:col>2</xdr:col>
      <xdr:colOff>1358175</xdr:colOff>
      <xdr:row>97</xdr:row>
      <xdr:rowOff>421822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181A5-AACB-49E1-A8F4-4744C750E85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20" y="42263787"/>
          <a:ext cx="2226540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85E-4F18-473E-BF94-851547DA6F53}">
  <sheetPr>
    <pageSetUpPr fitToPage="1"/>
  </sheetPr>
  <dimension ref="B1:K100"/>
  <sheetViews>
    <sheetView tabSelected="1" zoomScale="55" zoomScaleNormal="55" workbookViewId="0">
      <selection activeCell="F16" sqref="F16"/>
    </sheetView>
  </sheetViews>
  <sheetFormatPr defaultColWidth="9.125" defaultRowHeight="14.25"/>
  <cols>
    <col min="1" max="1" width="2.625" style="1" customWidth="1"/>
    <col min="2" max="2" width="19" style="1" customWidth="1"/>
    <col min="3" max="3" width="64.25" style="1" customWidth="1"/>
    <col min="4" max="4" width="12.625" style="1" customWidth="1"/>
    <col min="5" max="5" width="17.75" style="1" customWidth="1"/>
    <col min="6" max="6" width="24.25" style="1" customWidth="1"/>
    <col min="7" max="7" width="20.25" style="1" customWidth="1"/>
    <col min="8" max="8" width="10.875" style="1" customWidth="1"/>
    <col min="9" max="9" width="21.875" style="1" customWidth="1"/>
    <col min="10" max="10" width="26.875" style="1" customWidth="1"/>
    <col min="11" max="11" width="5.75" style="1" customWidth="1"/>
    <col min="12" max="16384" width="9.125" style="1"/>
  </cols>
  <sheetData>
    <row r="1" spans="2:10" ht="23.25" thickBot="1">
      <c r="B1" s="73" t="s">
        <v>0</v>
      </c>
      <c r="C1" s="74"/>
      <c r="D1" s="74"/>
      <c r="E1" s="74"/>
      <c r="F1" s="74"/>
      <c r="G1" s="74"/>
      <c r="H1" s="74"/>
      <c r="I1" s="74"/>
      <c r="J1" s="75"/>
    </row>
    <row r="2" spans="2:10" ht="19.5">
      <c r="B2" s="76" t="s">
        <v>1</v>
      </c>
      <c r="C2" s="77"/>
      <c r="D2" s="78"/>
      <c r="E2" s="79" t="s">
        <v>2</v>
      </c>
      <c r="F2" s="80"/>
      <c r="G2" s="81"/>
      <c r="H2" s="2" t="s">
        <v>3</v>
      </c>
      <c r="I2" s="2"/>
      <c r="J2" s="3"/>
    </row>
    <row r="3" spans="2:10" ht="19.5">
      <c r="B3" s="82" t="s">
        <v>4</v>
      </c>
      <c r="C3" s="85" t="s">
        <v>5</v>
      </c>
      <c r="D3" s="86"/>
      <c r="E3" s="87" t="s">
        <v>6</v>
      </c>
      <c r="F3" s="88"/>
      <c r="G3" s="89"/>
      <c r="H3" s="88" t="s">
        <v>7</v>
      </c>
      <c r="I3" s="88"/>
      <c r="J3" s="90"/>
    </row>
    <row r="4" spans="2:10" ht="19.5">
      <c r="B4" s="83"/>
      <c r="C4" s="91" t="s">
        <v>8</v>
      </c>
      <c r="D4" s="92"/>
      <c r="E4" s="5" t="s">
        <v>9</v>
      </c>
      <c r="F4" s="5"/>
      <c r="G4" s="5"/>
      <c r="H4" s="93" t="s">
        <v>9</v>
      </c>
      <c r="I4" s="93"/>
      <c r="J4" s="94"/>
    </row>
    <row r="5" spans="2:10" ht="19.5">
      <c r="B5" s="83"/>
      <c r="C5" s="91" t="s">
        <v>10</v>
      </c>
      <c r="D5" s="92"/>
      <c r="E5" s="95" t="s">
        <v>11</v>
      </c>
      <c r="F5" s="93"/>
      <c r="G5" s="96"/>
      <c r="H5" s="93" t="s">
        <v>11</v>
      </c>
      <c r="I5" s="93"/>
      <c r="J5" s="94"/>
    </row>
    <row r="6" spans="2:10" ht="19.5">
      <c r="B6" s="83"/>
      <c r="C6" s="91" t="s">
        <v>12</v>
      </c>
      <c r="D6" s="92"/>
      <c r="E6" s="97" t="s">
        <v>13</v>
      </c>
      <c r="F6" s="97"/>
      <c r="G6" s="97"/>
      <c r="H6" s="6" t="s">
        <v>13</v>
      </c>
      <c r="I6" s="7"/>
      <c r="J6" s="8"/>
    </row>
    <row r="7" spans="2:10" ht="19.5">
      <c r="B7" s="84"/>
      <c r="C7" s="91" t="s">
        <v>14</v>
      </c>
      <c r="D7" s="92"/>
      <c r="E7" s="95" t="s">
        <v>15</v>
      </c>
      <c r="F7" s="93"/>
      <c r="G7" s="96"/>
      <c r="H7" s="97" t="s">
        <v>16</v>
      </c>
      <c r="I7" s="97"/>
      <c r="J7" s="98"/>
    </row>
    <row r="8" spans="2:10" ht="20.25" thickBot="1">
      <c r="B8" s="4"/>
      <c r="C8" s="9"/>
      <c r="D8" s="9"/>
      <c r="E8" s="10"/>
      <c r="F8" s="10"/>
      <c r="G8" s="10"/>
      <c r="H8" s="10"/>
      <c r="I8" s="10"/>
      <c r="J8" s="11"/>
    </row>
    <row r="9" spans="2:10" ht="20.25" thickBot="1">
      <c r="B9" s="104" t="s">
        <v>17</v>
      </c>
      <c r="C9" s="105"/>
      <c r="D9" s="105"/>
      <c r="E9" s="105"/>
      <c r="F9" s="105"/>
      <c r="G9" s="105"/>
      <c r="H9" s="105"/>
      <c r="I9" s="105"/>
      <c r="J9" s="106"/>
    </row>
    <row r="10" spans="2:10" ht="19.5">
      <c r="B10" s="12" t="s">
        <v>18</v>
      </c>
      <c r="C10" s="13"/>
      <c r="D10" s="13"/>
      <c r="E10" s="13"/>
      <c r="F10" s="13"/>
      <c r="G10" s="14"/>
      <c r="H10" s="14"/>
      <c r="I10" s="15"/>
      <c r="J10" s="16"/>
    </row>
    <row r="11" spans="2:10" ht="19.5">
      <c r="B11" s="17" t="s">
        <v>19</v>
      </c>
      <c r="C11" s="18"/>
      <c r="D11" s="18"/>
      <c r="E11" s="18"/>
      <c r="F11" s="18"/>
      <c r="G11" s="19"/>
      <c r="H11" s="19"/>
      <c r="I11" s="20"/>
      <c r="J11" s="21"/>
    </row>
    <row r="12" spans="2:10" ht="20.25" thickBot="1">
      <c r="B12" s="17" t="s">
        <v>20</v>
      </c>
      <c r="C12" s="18"/>
      <c r="D12" s="18"/>
      <c r="E12" s="18"/>
      <c r="F12" s="18"/>
      <c r="G12" s="22" t="s">
        <v>4</v>
      </c>
      <c r="H12" s="107" t="s">
        <v>4</v>
      </c>
      <c r="I12" s="107"/>
      <c r="J12" s="108"/>
    </row>
    <row r="13" spans="2:10" ht="20.45" customHeight="1" thickBot="1">
      <c r="B13" s="109" t="s">
        <v>21</v>
      </c>
      <c r="C13" s="110"/>
      <c r="D13" s="110" t="s">
        <v>22</v>
      </c>
      <c r="E13" s="110"/>
      <c r="F13" s="110"/>
      <c r="G13" s="110" t="s">
        <v>23</v>
      </c>
      <c r="H13" s="110"/>
      <c r="I13" s="110"/>
      <c r="J13" s="111"/>
    </row>
    <row r="14" spans="2:10" ht="14.45" customHeight="1">
      <c r="B14" s="112" t="s">
        <v>24</v>
      </c>
      <c r="C14" s="114" t="s">
        <v>25</v>
      </c>
      <c r="D14" s="114" t="s">
        <v>26</v>
      </c>
      <c r="E14" s="114" t="s">
        <v>27</v>
      </c>
      <c r="F14" s="114" t="s">
        <v>28</v>
      </c>
      <c r="G14" s="114" t="s">
        <v>29</v>
      </c>
      <c r="H14" s="114" t="s">
        <v>30</v>
      </c>
      <c r="I14" s="116" t="s">
        <v>31</v>
      </c>
      <c r="J14" s="118" t="s">
        <v>32</v>
      </c>
    </row>
    <row r="15" spans="2:10" ht="47.25" customHeight="1">
      <c r="B15" s="113"/>
      <c r="C15" s="115"/>
      <c r="D15" s="115"/>
      <c r="E15" s="115"/>
      <c r="F15" s="115"/>
      <c r="G15" s="115"/>
      <c r="H15" s="115"/>
      <c r="I15" s="117"/>
      <c r="J15" s="119"/>
    </row>
    <row r="16" spans="2:10" ht="23.25">
      <c r="B16" s="23">
        <v>12003</v>
      </c>
      <c r="C16" s="24" t="s">
        <v>33</v>
      </c>
      <c r="D16" s="24">
        <v>30</v>
      </c>
      <c r="E16" s="24">
        <v>40</v>
      </c>
      <c r="F16" s="24">
        <f t="shared" ref="F16:F27" si="0">D16*E16</f>
        <v>1200</v>
      </c>
      <c r="G16" s="25"/>
      <c r="H16" s="24" t="s">
        <v>34</v>
      </c>
      <c r="I16" s="26">
        <f>G16*E16</f>
        <v>0</v>
      </c>
      <c r="J16" s="27"/>
    </row>
    <row r="17" spans="2:11" ht="23.25">
      <c r="B17" s="23">
        <v>12006</v>
      </c>
      <c r="C17" s="24" t="s">
        <v>35</v>
      </c>
      <c r="D17" s="24">
        <v>30</v>
      </c>
      <c r="E17" s="24">
        <v>50</v>
      </c>
      <c r="F17" s="24">
        <f t="shared" si="0"/>
        <v>1500</v>
      </c>
      <c r="G17" s="25"/>
      <c r="H17" s="24" t="s">
        <v>34</v>
      </c>
      <c r="I17" s="26">
        <f>G17*E17</f>
        <v>0</v>
      </c>
      <c r="J17" s="27"/>
    </row>
    <row r="18" spans="2:11" ht="35.25" customHeight="1">
      <c r="B18" s="23">
        <v>12016</v>
      </c>
      <c r="C18" s="24" t="s">
        <v>36</v>
      </c>
      <c r="D18" s="24">
        <v>30</v>
      </c>
      <c r="E18" s="24">
        <v>30</v>
      </c>
      <c r="F18" s="24">
        <f t="shared" si="0"/>
        <v>900</v>
      </c>
      <c r="G18" s="25"/>
      <c r="H18" s="24" t="s">
        <v>34</v>
      </c>
      <c r="I18" s="26">
        <f t="shared" ref="I18:I20" si="1">G18*E18</f>
        <v>0</v>
      </c>
      <c r="J18" s="27"/>
    </row>
    <row r="19" spans="2:11" ht="39" customHeight="1" thickBot="1">
      <c r="B19" s="23">
        <v>12019</v>
      </c>
      <c r="C19" s="24" t="s">
        <v>37</v>
      </c>
      <c r="D19" s="24">
        <v>10</v>
      </c>
      <c r="E19" s="24">
        <v>12</v>
      </c>
      <c r="F19" s="24">
        <f t="shared" si="0"/>
        <v>120</v>
      </c>
      <c r="G19" s="25"/>
      <c r="H19" s="24" t="s">
        <v>34</v>
      </c>
      <c r="I19" s="26">
        <f t="shared" si="1"/>
        <v>0</v>
      </c>
      <c r="J19" s="27"/>
    </row>
    <row r="20" spans="2:11" ht="47.25" customHeight="1">
      <c r="B20" s="66">
        <v>12023</v>
      </c>
      <c r="C20" s="63" t="s">
        <v>38</v>
      </c>
      <c r="D20" s="63">
        <v>10</v>
      </c>
      <c r="E20" s="63">
        <v>18</v>
      </c>
      <c r="F20" s="63">
        <f t="shared" si="0"/>
        <v>180</v>
      </c>
      <c r="G20" s="67"/>
      <c r="H20" s="63" t="s">
        <v>34</v>
      </c>
      <c r="I20" s="68">
        <f t="shared" si="1"/>
        <v>0</v>
      </c>
      <c r="J20" s="29"/>
      <c r="K20" s="139" t="s">
        <v>120</v>
      </c>
    </row>
    <row r="21" spans="2:11" ht="47.25" customHeight="1">
      <c r="B21" s="66">
        <v>12024</v>
      </c>
      <c r="C21" s="63" t="s">
        <v>39</v>
      </c>
      <c r="D21" s="63">
        <v>10</v>
      </c>
      <c r="E21" s="63">
        <v>10</v>
      </c>
      <c r="F21" s="63">
        <f t="shared" si="0"/>
        <v>100</v>
      </c>
      <c r="G21" s="63"/>
      <c r="H21" s="63" t="s">
        <v>34</v>
      </c>
      <c r="I21" s="68">
        <f t="shared" ref="I21:I26" si="2">E21*G21</f>
        <v>0</v>
      </c>
      <c r="J21" s="29"/>
      <c r="K21" s="140"/>
    </row>
    <row r="22" spans="2:11" ht="47.25" customHeight="1">
      <c r="B22" s="66">
        <v>12060</v>
      </c>
      <c r="C22" s="63" t="s">
        <v>40</v>
      </c>
      <c r="D22" s="63">
        <v>5</v>
      </c>
      <c r="E22" s="63">
        <v>90</v>
      </c>
      <c r="F22" s="63">
        <f t="shared" si="0"/>
        <v>450</v>
      </c>
      <c r="G22" s="63"/>
      <c r="H22" s="63" t="s">
        <v>34</v>
      </c>
      <c r="I22" s="68">
        <f t="shared" si="2"/>
        <v>0</v>
      </c>
      <c r="J22" s="29"/>
      <c r="K22" s="140"/>
    </row>
    <row r="23" spans="2:11" ht="47.25" customHeight="1">
      <c r="B23" s="66">
        <v>12061</v>
      </c>
      <c r="C23" s="63" t="s">
        <v>41</v>
      </c>
      <c r="D23" s="63">
        <v>5</v>
      </c>
      <c r="E23" s="63">
        <v>30</v>
      </c>
      <c r="F23" s="63">
        <f t="shared" si="0"/>
        <v>150</v>
      </c>
      <c r="G23" s="63"/>
      <c r="H23" s="63" t="s">
        <v>34</v>
      </c>
      <c r="I23" s="68">
        <f t="shared" si="2"/>
        <v>0</v>
      </c>
      <c r="J23" s="29"/>
      <c r="K23" s="140"/>
    </row>
    <row r="24" spans="2:11" ht="47.25" customHeight="1">
      <c r="B24" s="66">
        <v>12062</v>
      </c>
      <c r="C24" s="63" t="s">
        <v>42</v>
      </c>
      <c r="D24" s="63">
        <v>5</v>
      </c>
      <c r="E24" s="63">
        <v>20</v>
      </c>
      <c r="F24" s="63">
        <f t="shared" si="0"/>
        <v>100</v>
      </c>
      <c r="G24" s="63"/>
      <c r="H24" s="63" t="s">
        <v>34</v>
      </c>
      <c r="I24" s="68">
        <f t="shared" si="2"/>
        <v>0</v>
      </c>
      <c r="J24" s="29"/>
      <c r="K24" s="140"/>
    </row>
    <row r="25" spans="2:11" ht="47.25" customHeight="1">
      <c r="B25" s="66">
        <v>12063</v>
      </c>
      <c r="C25" s="63" t="s">
        <v>43</v>
      </c>
      <c r="D25" s="63">
        <v>5</v>
      </c>
      <c r="E25" s="63">
        <v>8</v>
      </c>
      <c r="F25" s="63">
        <f t="shared" si="0"/>
        <v>40</v>
      </c>
      <c r="G25" s="63"/>
      <c r="H25" s="63" t="s">
        <v>34</v>
      </c>
      <c r="I25" s="68">
        <f t="shared" si="2"/>
        <v>0</v>
      </c>
      <c r="J25" s="29"/>
      <c r="K25" s="140"/>
    </row>
    <row r="26" spans="2:11" ht="47.25" customHeight="1">
      <c r="B26" s="66">
        <v>12069</v>
      </c>
      <c r="C26" s="63" t="s">
        <v>44</v>
      </c>
      <c r="D26" s="63">
        <v>5</v>
      </c>
      <c r="E26" s="63">
        <v>3</v>
      </c>
      <c r="F26" s="63">
        <f t="shared" si="0"/>
        <v>15</v>
      </c>
      <c r="G26" s="63"/>
      <c r="H26" s="63" t="s">
        <v>34</v>
      </c>
      <c r="I26" s="68">
        <f t="shared" si="2"/>
        <v>0</v>
      </c>
      <c r="J26" s="29"/>
      <c r="K26" s="140"/>
    </row>
    <row r="27" spans="2:11" ht="46.9" customHeight="1">
      <c r="B27" s="66">
        <v>12142</v>
      </c>
      <c r="C27" s="63" t="s">
        <v>45</v>
      </c>
      <c r="D27" s="63">
        <v>24</v>
      </c>
      <c r="E27" s="63">
        <v>150</v>
      </c>
      <c r="F27" s="63">
        <f t="shared" si="0"/>
        <v>3600</v>
      </c>
      <c r="G27" s="67"/>
      <c r="H27" s="63" t="s">
        <v>34</v>
      </c>
      <c r="I27" s="68">
        <f t="shared" ref="I27:I28" si="3">G27*E27</f>
        <v>0</v>
      </c>
      <c r="J27" s="29"/>
      <c r="K27" s="140"/>
    </row>
    <row r="28" spans="2:11" ht="47.25" customHeight="1">
      <c r="B28" s="66">
        <v>12143</v>
      </c>
      <c r="C28" s="63" t="s">
        <v>46</v>
      </c>
      <c r="D28" s="63">
        <v>12</v>
      </c>
      <c r="E28" s="63">
        <v>120</v>
      </c>
      <c r="F28" s="63">
        <f>E28*D28</f>
        <v>1440</v>
      </c>
      <c r="G28" s="67"/>
      <c r="H28" s="63" t="s">
        <v>34</v>
      </c>
      <c r="I28" s="68">
        <f t="shared" si="3"/>
        <v>0</v>
      </c>
      <c r="J28" s="29"/>
      <c r="K28" s="140"/>
    </row>
    <row r="29" spans="2:11" ht="47.25" customHeight="1">
      <c r="B29" s="66">
        <v>12145</v>
      </c>
      <c r="C29" s="63" t="s">
        <v>47</v>
      </c>
      <c r="D29" s="63">
        <v>12</v>
      </c>
      <c r="E29" s="63">
        <v>25</v>
      </c>
      <c r="F29" s="63">
        <f t="shared" ref="F29:F30" si="4">D29*E29</f>
        <v>300</v>
      </c>
      <c r="G29" s="63"/>
      <c r="H29" s="63" t="s">
        <v>34</v>
      </c>
      <c r="I29" s="68">
        <f t="shared" ref="I29:I30" si="5">E29*G29</f>
        <v>0</v>
      </c>
      <c r="J29" s="29"/>
      <c r="K29" s="140"/>
    </row>
    <row r="30" spans="2:11" ht="47.25" customHeight="1">
      <c r="B30" s="66">
        <v>12146</v>
      </c>
      <c r="C30" s="63" t="s">
        <v>48</v>
      </c>
      <c r="D30" s="63">
        <v>12</v>
      </c>
      <c r="E30" s="63">
        <v>48</v>
      </c>
      <c r="F30" s="63">
        <f t="shared" si="4"/>
        <v>576</v>
      </c>
      <c r="G30" s="63"/>
      <c r="H30" s="63" t="s">
        <v>34</v>
      </c>
      <c r="I30" s="68">
        <f t="shared" si="5"/>
        <v>0</v>
      </c>
      <c r="J30" s="29"/>
      <c r="K30" s="140"/>
    </row>
    <row r="31" spans="2:11" ht="47.25" customHeight="1">
      <c r="B31" s="66">
        <v>12211</v>
      </c>
      <c r="C31" s="63" t="s">
        <v>49</v>
      </c>
      <c r="D31" s="63">
        <v>20</v>
      </c>
      <c r="E31" s="63">
        <v>96</v>
      </c>
      <c r="F31" s="63">
        <f>D31*E31</f>
        <v>1920</v>
      </c>
      <c r="G31" s="63"/>
      <c r="H31" s="63" t="s">
        <v>34</v>
      </c>
      <c r="I31" s="68">
        <f>E31*G31</f>
        <v>0</v>
      </c>
      <c r="J31" s="29"/>
      <c r="K31" s="140"/>
    </row>
    <row r="32" spans="2:11" ht="47.25" customHeight="1">
      <c r="B32" s="66">
        <v>12800</v>
      </c>
      <c r="C32" s="63" t="s">
        <v>50</v>
      </c>
      <c r="D32" s="63">
        <v>20</v>
      </c>
      <c r="E32" s="63">
        <v>2064</v>
      </c>
      <c r="F32" s="63">
        <f t="shared" ref="F32" si="6">D32*E32</f>
        <v>41280</v>
      </c>
      <c r="G32" s="63"/>
      <c r="H32" s="63" t="s">
        <v>34</v>
      </c>
      <c r="I32" s="68">
        <f t="shared" ref="I32:I45" si="7">E32*G32</f>
        <v>0</v>
      </c>
      <c r="J32" s="29"/>
      <c r="K32" s="140"/>
    </row>
    <row r="33" spans="2:11" ht="47.25" customHeight="1">
      <c r="B33" s="66">
        <v>12801</v>
      </c>
      <c r="C33" s="63" t="s">
        <v>51</v>
      </c>
      <c r="D33" s="63">
        <v>10</v>
      </c>
      <c r="E33" s="63">
        <v>480</v>
      </c>
      <c r="F33" s="63">
        <f t="shared" ref="F33:F45" si="8">E33*D33</f>
        <v>4800</v>
      </c>
      <c r="G33" s="63"/>
      <c r="H33" s="63" t="s">
        <v>34</v>
      </c>
      <c r="I33" s="68">
        <f t="shared" si="7"/>
        <v>0</v>
      </c>
      <c r="J33" s="29"/>
      <c r="K33" s="140"/>
    </row>
    <row r="34" spans="2:11" ht="47.25" customHeight="1">
      <c r="B34" s="66">
        <v>12802</v>
      </c>
      <c r="C34" s="63" t="s">
        <v>52</v>
      </c>
      <c r="D34" s="63">
        <v>10</v>
      </c>
      <c r="E34" s="63">
        <v>168</v>
      </c>
      <c r="F34" s="63">
        <f t="shared" si="8"/>
        <v>1680</v>
      </c>
      <c r="G34" s="63"/>
      <c r="H34" s="63" t="s">
        <v>34</v>
      </c>
      <c r="I34" s="68">
        <f t="shared" si="7"/>
        <v>0</v>
      </c>
      <c r="J34" s="29"/>
      <c r="K34" s="140"/>
    </row>
    <row r="35" spans="2:11" ht="47.25" customHeight="1">
      <c r="B35" s="66">
        <v>12803</v>
      </c>
      <c r="C35" s="63" t="s">
        <v>53</v>
      </c>
      <c r="D35" s="63">
        <v>10</v>
      </c>
      <c r="E35" s="63">
        <v>312</v>
      </c>
      <c r="F35" s="63">
        <f t="shared" si="8"/>
        <v>3120</v>
      </c>
      <c r="G35" s="63"/>
      <c r="H35" s="63" t="s">
        <v>34</v>
      </c>
      <c r="I35" s="63">
        <f t="shared" si="7"/>
        <v>0</v>
      </c>
      <c r="J35" s="29"/>
      <c r="K35" s="140"/>
    </row>
    <row r="36" spans="2:11" ht="47.25" customHeight="1">
      <c r="B36" s="66">
        <v>12805</v>
      </c>
      <c r="C36" s="63" t="s">
        <v>54</v>
      </c>
      <c r="D36" s="63">
        <v>10</v>
      </c>
      <c r="E36" s="63">
        <v>80</v>
      </c>
      <c r="F36" s="63">
        <f t="shared" si="8"/>
        <v>800</v>
      </c>
      <c r="G36" s="63"/>
      <c r="H36" s="63" t="s">
        <v>34</v>
      </c>
      <c r="I36" s="63">
        <f t="shared" si="7"/>
        <v>0</v>
      </c>
      <c r="J36" s="29"/>
      <c r="K36" s="140"/>
    </row>
    <row r="37" spans="2:11" ht="47.25" customHeight="1">
      <c r="B37" s="66">
        <v>12807</v>
      </c>
      <c r="C37" s="63" t="s">
        <v>55</v>
      </c>
      <c r="D37" s="63">
        <v>10</v>
      </c>
      <c r="E37" s="63">
        <v>40</v>
      </c>
      <c r="F37" s="63">
        <f t="shared" si="8"/>
        <v>400</v>
      </c>
      <c r="G37" s="63"/>
      <c r="H37" s="63" t="s">
        <v>34</v>
      </c>
      <c r="I37" s="63">
        <f t="shared" si="7"/>
        <v>0</v>
      </c>
      <c r="J37" s="29"/>
      <c r="K37" s="140"/>
    </row>
    <row r="38" spans="2:11" ht="47.25" customHeight="1">
      <c r="B38" s="66">
        <v>12809</v>
      </c>
      <c r="C38" s="63" t="s">
        <v>56</v>
      </c>
      <c r="D38" s="63">
        <v>10</v>
      </c>
      <c r="E38" s="63">
        <v>80</v>
      </c>
      <c r="F38" s="63">
        <f t="shared" si="8"/>
        <v>800</v>
      </c>
      <c r="G38" s="63"/>
      <c r="H38" s="63" t="s">
        <v>34</v>
      </c>
      <c r="I38" s="63">
        <f t="shared" si="7"/>
        <v>0</v>
      </c>
      <c r="J38" s="29"/>
      <c r="K38" s="140"/>
    </row>
    <row r="39" spans="2:11" ht="47.25" customHeight="1">
      <c r="B39" s="66">
        <v>12813</v>
      </c>
      <c r="C39" s="63" t="s">
        <v>57</v>
      </c>
      <c r="D39" s="63">
        <v>10</v>
      </c>
      <c r="E39" s="63">
        <v>5</v>
      </c>
      <c r="F39" s="63">
        <f t="shared" si="8"/>
        <v>50</v>
      </c>
      <c r="G39" s="63"/>
      <c r="H39" s="63" t="s">
        <v>34</v>
      </c>
      <c r="I39" s="63">
        <f t="shared" si="7"/>
        <v>0</v>
      </c>
      <c r="J39" s="29"/>
      <c r="K39" s="140"/>
    </row>
    <row r="40" spans="2:11" ht="47.25" customHeight="1">
      <c r="B40" s="66">
        <v>12815</v>
      </c>
      <c r="C40" s="63" t="s">
        <v>58</v>
      </c>
      <c r="D40" s="63">
        <v>10</v>
      </c>
      <c r="E40" s="63">
        <v>30</v>
      </c>
      <c r="F40" s="63">
        <f t="shared" si="8"/>
        <v>300</v>
      </c>
      <c r="G40" s="63"/>
      <c r="H40" s="63" t="s">
        <v>34</v>
      </c>
      <c r="I40" s="63">
        <f t="shared" si="7"/>
        <v>0</v>
      </c>
      <c r="J40" s="29"/>
      <c r="K40" s="140"/>
    </row>
    <row r="41" spans="2:11" ht="47.25" customHeight="1">
      <c r="B41" s="66">
        <v>12819</v>
      </c>
      <c r="C41" s="63" t="s">
        <v>59</v>
      </c>
      <c r="D41" s="63">
        <v>10</v>
      </c>
      <c r="E41" s="63">
        <v>15</v>
      </c>
      <c r="F41" s="63">
        <f t="shared" si="8"/>
        <v>150</v>
      </c>
      <c r="G41" s="63"/>
      <c r="H41" s="63" t="s">
        <v>34</v>
      </c>
      <c r="I41" s="63">
        <f t="shared" si="7"/>
        <v>0</v>
      </c>
      <c r="J41" s="29"/>
      <c r="K41" s="140"/>
    </row>
    <row r="42" spans="2:11" ht="47.25" customHeight="1">
      <c r="B42" s="66">
        <v>12825</v>
      </c>
      <c r="C42" s="63" t="s">
        <v>60</v>
      </c>
      <c r="D42" s="63">
        <v>10</v>
      </c>
      <c r="E42" s="63">
        <v>20</v>
      </c>
      <c r="F42" s="63">
        <f t="shared" si="8"/>
        <v>200</v>
      </c>
      <c r="G42" s="63"/>
      <c r="H42" s="63" t="s">
        <v>34</v>
      </c>
      <c r="I42" s="63">
        <f t="shared" si="7"/>
        <v>0</v>
      </c>
      <c r="J42" s="29"/>
      <c r="K42" s="140"/>
    </row>
    <row r="43" spans="2:11" ht="47.25" customHeight="1">
      <c r="B43" s="66">
        <v>12830</v>
      </c>
      <c r="C43" s="63" t="s">
        <v>61</v>
      </c>
      <c r="D43" s="63">
        <v>10</v>
      </c>
      <c r="E43" s="63">
        <v>20</v>
      </c>
      <c r="F43" s="63">
        <f t="shared" si="8"/>
        <v>200</v>
      </c>
      <c r="G43" s="63"/>
      <c r="H43" s="63" t="s">
        <v>34</v>
      </c>
      <c r="I43" s="63">
        <f t="shared" si="7"/>
        <v>0</v>
      </c>
      <c r="J43" s="29"/>
      <c r="K43" s="140"/>
    </row>
    <row r="44" spans="2:11" ht="47.25" customHeight="1">
      <c r="B44" s="66">
        <v>12831</v>
      </c>
      <c r="C44" s="63" t="s">
        <v>62</v>
      </c>
      <c r="D44" s="63">
        <v>10</v>
      </c>
      <c r="E44" s="63">
        <v>10</v>
      </c>
      <c r="F44" s="63">
        <f t="shared" si="8"/>
        <v>100</v>
      </c>
      <c r="G44" s="63"/>
      <c r="H44" s="63" t="s">
        <v>34</v>
      </c>
      <c r="I44" s="63">
        <f t="shared" si="7"/>
        <v>0</v>
      </c>
      <c r="J44" s="29"/>
      <c r="K44" s="140"/>
    </row>
    <row r="45" spans="2:11" ht="47.25" customHeight="1" thickBot="1">
      <c r="B45" s="66">
        <v>12832</v>
      </c>
      <c r="C45" s="63" t="s">
        <v>63</v>
      </c>
      <c r="D45" s="63">
        <v>10</v>
      </c>
      <c r="E45" s="63">
        <v>5</v>
      </c>
      <c r="F45" s="63">
        <f t="shared" si="8"/>
        <v>50</v>
      </c>
      <c r="G45" s="63"/>
      <c r="H45" s="63" t="s">
        <v>34</v>
      </c>
      <c r="I45" s="63">
        <f t="shared" si="7"/>
        <v>0</v>
      </c>
      <c r="J45" s="29"/>
      <c r="K45" s="141"/>
    </row>
    <row r="46" spans="2:11" ht="36" customHeight="1">
      <c r="B46" s="23">
        <v>14040</v>
      </c>
      <c r="C46" s="24" t="s">
        <v>64</v>
      </c>
      <c r="D46" s="24">
        <v>18</v>
      </c>
      <c r="E46" s="24">
        <v>600</v>
      </c>
      <c r="F46" s="24">
        <f t="shared" ref="F46" si="9">D46*E46</f>
        <v>10800</v>
      </c>
      <c r="G46" s="28"/>
      <c r="H46" s="24" t="s">
        <v>34</v>
      </c>
      <c r="I46" s="26">
        <f t="shared" ref="I46:I89" si="10">G46*E46</f>
        <v>0</v>
      </c>
      <c r="J46" s="27"/>
    </row>
    <row r="47" spans="2:11" ht="38.25" customHeight="1" thickBot="1">
      <c r="B47" s="23">
        <v>14042</v>
      </c>
      <c r="C47" s="24" t="s">
        <v>65</v>
      </c>
      <c r="D47" s="24">
        <v>18</v>
      </c>
      <c r="E47" s="24">
        <v>648</v>
      </c>
      <c r="F47" s="24">
        <f>E47*D47</f>
        <v>11664</v>
      </c>
      <c r="G47" s="24"/>
      <c r="H47" s="24" t="s">
        <v>34</v>
      </c>
      <c r="I47" s="26">
        <f t="shared" si="10"/>
        <v>0</v>
      </c>
      <c r="J47" s="27"/>
    </row>
    <row r="48" spans="2:11" ht="47.25" customHeight="1">
      <c r="B48" s="69">
        <v>14201</v>
      </c>
      <c r="C48" s="70" t="s">
        <v>66</v>
      </c>
      <c r="D48" s="70">
        <v>40</v>
      </c>
      <c r="E48" s="70">
        <v>144</v>
      </c>
      <c r="F48" s="70">
        <f>E48*D48</f>
        <v>5760</v>
      </c>
      <c r="G48" s="70"/>
      <c r="H48" s="70" t="s">
        <v>34</v>
      </c>
      <c r="I48" s="71">
        <f t="shared" si="10"/>
        <v>0</v>
      </c>
      <c r="J48" s="29"/>
      <c r="K48" s="139" t="s">
        <v>120</v>
      </c>
    </row>
    <row r="49" spans="2:11" ht="47.25" customHeight="1">
      <c r="B49" s="69">
        <v>14202</v>
      </c>
      <c r="C49" s="70" t="s">
        <v>67</v>
      </c>
      <c r="D49" s="70">
        <v>30</v>
      </c>
      <c r="E49" s="70">
        <v>336</v>
      </c>
      <c r="F49" s="70">
        <f t="shared" ref="F49" si="11">E49*D49</f>
        <v>10080</v>
      </c>
      <c r="G49" s="72"/>
      <c r="H49" s="70" t="s">
        <v>34</v>
      </c>
      <c r="I49" s="71">
        <f t="shared" si="10"/>
        <v>0</v>
      </c>
      <c r="J49" s="29"/>
      <c r="K49" s="140"/>
    </row>
    <row r="50" spans="2:11" ht="47.25" customHeight="1">
      <c r="B50" s="69">
        <v>14203</v>
      </c>
      <c r="C50" s="70" t="s">
        <v>68</v>
      </c>
      <c r="D50" s="70">
        <v>20</v>
      </c>
      <c r="E50" s="70">
        <v>48</v>
      </c>
      <c r="F50" s="70">
        <f t="shared" ref="F50:F77" si="12">D50*E50</f>
        <v>960</v>
      </c>
      <c r="G50" s="70"/>
      <c r="H50" s="70" t="s">
        <v>34</v>
      </c>
      <c r="I50" s="71">
        <f t="shared" si="10"/>
        <v>0</v>
      </c>
      <c r="J50" s="29"/>
      <c r="K50" s="140"/>
    </row>
    <row r="51" spans="2:11" ht="47.25" customHeight="1">
      <c r="B51" s="69">
        <v>14208</v>
      </c>
      <c r="C51" s="70" t="s">
        <v>69</v>
      </c>
      <c r="D51" s="70">
        <v>100</v>
      </c>
      <c r="E51" s="70">
        <v>144</v>
      </c>
      <c r="F51" s="70">
        <f t="shared" si="12"/>
        <v>14400</v>
      </c>
      <c r="G51" s="70"/>
      <c r="H51" s="70" t="s">
        <v>34</v>
      </c>
      <c r="I51" s="71">
        <f t="shared" si="10"/>
        <v>0</v>
      </c>
      <c r="J51" s="29"/>
      <c r="K51" s="140"/>
    </row>
    <row r="52" spans="2:11" ht="47.25" customHeight="1">
      <c r="B52" s="69">
        <v>14209</v>
      </c>
      <c r="C52" s="70" t="s">
        <v>70</v>
      </c>
      <c r="D52" s="70">
        <v>50</v>
      </c>
      <c r="E52" s="70">
        <v>240</v>
      </c>
      <c r="F52" s="70">
        <f t="shared" si="12"/>
        <v>12000</v>
      </c>
      <c r="G52" s="70"/>
      <c r="H52" s="70" t="s">
        <v>34</v>
      </c>
      <c r="I52" s="71">
        <f t="shared" si="10"/>
        <v>0</v>
      </c>
      <c r="J52" s="29"/>
      <c r="K52" s="140"/>
    </row>
    <row r="53" spans="2:11" ht="47.25" customHeight="1">
      <c r="B53" s="69">
        <v>14211</v>
      </c>
      <c r="C53" s="70" t="s">
        <v>71</v>
      </c>
      <c r="D53" s="70">
        <v>200</v>
      </c>
      <c r="E53" s="70">
        <v>50</v>
      </c>
      <c r="F53" s="70">
        <f t="shared" si="12"/>
        <v>10000</v>
      </c>
      <c r="G53" s="71"/>
      <c r="H53" s="70" t="s">
        <v>34</v>
      </c>
      <c r="I53" s="71">
        <f t="shared" si="10"/>
        <v>0</v>
      </c>
      <c r="J53" s="29"/>
      <c r="K53" s="140"/>
    </row>
    <row r="54" spans="2:11" ht="47.25" customHeight="1">
      <c r="B54" s="69">
        <v>14212</v>
      </c>
      <c r="C54" s="70" t="s">
        <v>72</v>
      </c>
      <c r="D54" s="70">
        <v>150</v>
      </c>
      <c r="E54" s="70">
        <v>30</v>
      </c>
      <c r="F54" s="70">
        <f t="shared" si="12"/>
        <v>4500</v>
      </c>
      <c r="G54" s="71"/>
      <c r="H54" s="70" t="s">
        <v>34</v>
      </c>
      <c r="I54" s="71">
        <f t="shared" si="10"/>
        <v>0</v>
      </c>
      <c r="J54" s="29"/>
      <c r="K54" s="140"/>
    </row>
    <row r="55" spans="2:11" ht="47.25" customHeight="1" thickBot="1">
      <c r="B55" s="69">
        <v>14213</v>
      </c>
      <c r="C55" s="70" t="s">
        <v>73</v>
      </c>
      <c r="D55" s="70">
        <v>250</v>
      </c>
      <c r="E55" s="70">
        <v>30</v>
      </c>
      <c r="F55" s="70">
        <f t="shared" si="12"/>
        <v>7500</v>
      </c>
      <c r="G55" s="70"/>
      <c r="H55" s="70" t="s">
        <v>34</v>
      </c>
      <c r="I55" s="71">
        <f t="shared" si="10"/>
        <v>0</v>
      </c>
      <c r="J55" s="29"/>
      <c r="K55" s="141"/>
    </row>
    <row r="56" spans="2:11" ht="23.25">
      <c r="B56" s="30">
        <v>14556</v>
      </c>
      <c r="C56" s="31" t="s">
        <v>74</v>
      </c>
      <c r="D56" s="31">
        <v>50</v>
      </c>
      <c r="E56" s="31">
        <v>30</v>
      </c>
      <c r="F56" s="31">
        <f t="shared" si="12"/>
        <v>1500</v>
      </c>
      <c r="G56" s="31"/>
      <c r="H56" s="31" t="s">
        <v>34</v>
      </c>
      <c r="I56" s="32">
        <f t="shared" si="10"/>
        <v>0</v>
      </c>
      <c r="J56" s="33"/>
    </row>
    <row r="57" spans="2:11" ht="23.25">
      <c r="B57" s="30">
        <v>14579</v>
      </c>
      <c r="C57" s="31" t="s">
        <v>75</v>
      </c>
      <c r="D57" s="31">
        <v>20</v>
      </c>
      <c r="E57" s="31">
        <v>792</v>
      </c>
      <c r="F57" s="31">
        <f t="shared" si="12"/>
        <v>15840</v>
      </c>
      <c r="G57" s="31"/>
      <c r="H57" s="31" t="s">
        <v>34</v>
      </c>
      <c r="I57" s="32">
        <f t="shared" si="10"/>
        <v>0</v>
      </c>
      <c r="J57" s="33"/>
    </row>
    <row r="58" spans="2:11" ht="23.25">
      <c r="B58" s="30">
        <v>14580</v>
      </c>
      <c r="C58" s="31" t="s">
        <v>76</v>
      </c>
      <c r="D58" s="31">
        <v>20</v>
      </c>
      <c r="E58" s="31">
        <v>396</v>
      </c>
      <c r="F58" s="31">
        <f t="shared" si="12"/>
        <v>7920</v>
      </c>
      <c r="G58" s="31"/>
      <c r="H58" s="31" t="s">
        <v>34</v>
      </c>
      <c r="I58" s="32">
        <f t="shared" si="10"/>
        <v>0</v>
      </c>
      <c r="J58" s="33"/>
    </row>
    <row r="59" spans="2:11" ht="23.25">
      <c r="B59" s="30">
        <v>15050</v>
      </c>
      <c r="C59" s="31" t="s">
        <v>77</v>
      </c>
      <c r="D59" s="31">
        <v>50</v>
      </c>
      <c r="E59" s="31">
        <v>50</v>
      </c>
      <c r="F59" s="31">
        <f t="shared" si="12"/>
        <v>2500</v>
      </c>
      <c r="G59" s="31"/>
      <c r="H59" s="31" t="s">
        <v>34</v>
      </c>
      <c r="I59" s="32">
        <f t="shared" si="10"/>
        <v>0</v>
      </c>
      <c r="J59" s="33"/>
    </row>
    <row r="60" spans="2:11" ht="23.25">
      <c r="B60" s="30">
        <v>15061</v>
      </c>
      <c r="C60" s="31" t="s">
        <v>78</v>
      </c>
      <c r="D60" s="31">
        <v>25</v>
      </c>
      <c r="E60" s="31">
        <v>288</v>
      </c>
      <c r="F60" s="31">
        <f t="shared" si="12"/>
        <v>7200</v>
      </c>
      <c r="G60" s="31"/>
      <c r="H60" s="31" t="s">
        <v>79</v>
      </c>
      <c r="I60" s="32">
        <f t="shared" ref="I60" si="13">E60*G60</f>
        <v>0</v>
      </c>
      <c r="J60" s="33"/>
    </row>
    <row r="61" spans="2:11" ht="23.25">
      <c r="B61" s="30">
        <v>15158</v>
      </c>
      <c r="C61" s="31" t="s">
        <v>80</v>
      </c>
      <c r="D61" s="31">
        <v>50</v>
      </c>
      <c r="E61" s="31">
        <v>168</v>
      </c>
      <c r="F61" s="31">
        <f t="shared" si="12"/>
        <v>8400</v>
      </c>
      <c r="G61" s="31"/>
      <c r="H61" s="31" t="s">
        <v>79</v>
      </c>
      <c r="I61" s="32">
        <f t="shared" si="10"/>
        <v>0</v>
      </c>
      <c r="J61" s="33"/>
    </row>
    <row r="62" spans="2:11" ht="23.25">
      <c r="B62" s="30">
        <v>94211</v>
      </c>
      <c r="C62" s="31" t="s">
        <v>81</v>
      </c>
      <c r="D62" s="31">
        <v>40</v>
      </c>
      <c r="E62" s="31">
        <v>336</v>
      </c>
      <c r="F62" s="31">
        <f t="shared" si="12"/>
        <v>13440</v>
      </c>
      <c r="G62" s="31"/>
      <c r="H62" s="31" t="s">
        <v>34</v>
      </c>
      <c r="I62" s="32">
        <f t="shared" si="10"/>
        <v>0</v>
      </c>
      <c r="J62" s="33"/>
    </row>
    <row r="63" spans="2:11" ht="24" thickBot="1">
      <c r="B63" s="30">
        <v>94213</v>
      </c>
      <c r="C63" s="31" t="s">
        <v>82</v>
      </c>
      <c r="D63" s="31">
        <v>25</v>
      </c>
      <c r="E63" s="31">
        <v>360</v>
      </c>
      <c r="F63" s="31">
        <f t="shared" si="12"/>
        <v>9000</v>
      </c>
      <c r="G63" s="31"/>
      <c r="H63" s="31" t="s">
        <v>34</v>
      </c>
      <c r="I63" s="32">
        <f t="shared" si="10"/>
        <v>0</v>
      </c>
      <c r="J63" s="33"/>
    </row>
    <row r="64" spans="2:11" ht="46.9" customHeight="1">
      <c r="B64" s="60">
        <v>94221</v>
      </c>
      <c r="C64" s="61" t="s">
        <v>83</v>
      </c>
      <c r="D64" s="61">
        <v>25</v>
      </c>
      <c r="E64" s="61">
        <v>54</v>
      </c>
      <c r="F64" s="61">
        <f>E64*D64</f>
        <v>1350</v>
      </c>
      <c r="G64" s="62"/>
      <c r="H64" s="63" t="s">
        <v>34</v>
      </c>
      <c r="I64" s="64">
        <f>G64*E64</f>
        <v>0</v>
      </c>
      <c r="J64" s="65"/>
      <c r="K64" s="139" t="s">
        <v>120</v>
      </c>
    </row>
    <row r="65" spans="2:11" ht="46.9" customHeight="1">
      <c r="B65" s="66">
        <v>94223</v>
      </c>
      <c r="C65" s="63" t="s">
        <v>84</v>
      </c>
      <c r="D65" s="63">
        <v>10</v>
      </c>
      <c r="E65" s="63">
        <v>48</v>
      </c>
      <c r="F65" s="63">
        <f t="shared" si="12"/>
        <v>480</v>
      </c>
      <c r="G65" s="67"/>
      <c r="H65" s="63" t="s">
        <v>34</v>
      </c>
      <c r="I65" s="68">
        <f t="shared" si="10"/>
        <v>0</v>
      </c>
      <c r="J65" s="65"/>
      <c r="K65" s="140"/>
    </row>
    <row r="66" spans="2:11" ht="46.9" customHeight="1">
      <c r="B66" s="66">
        <v>94231</v>
      </c>
      <c r="C66" s="63" t="s">
        <v>85</v>
      </c>
      <c r="D66" s="63">
        <v>10</v>
      </c>
      <c r="E66" s="63">
        <v>320</v>
      </c>
      <c r="F66" s="63">
        <f t="shared" si="12"/>
        <v>3200</v>
      </c>
      <c r="G66" s="63"/>
      <c r="H66" s="63" t="s">
        <v>34</v>
      </c>
      <c r="I66" s="68">
        <f t="shared" si="10"/>
        <v>0</v>
      </c>
      <c r="J66" s="65"/>
      <c r="K66" s="140"/>
    </row>
    <row r="67" spans="2:11" ht="46.9" customHeight="1">
      <c r="B67" s="66">
        <v>94234</v>
      </c>
      <c r="C67" s="63" t="s">
        <v>86</v>
      </c>
      <c r="D67" s="63">
        <v>10</v>
      </c>
      <c r="E67" s="63">
        <v>120</v>
      </c>
      <c r="F67" s="63">
        <f t="shared" si="12"/>
        <v>1200</v>
      </c>
      <c r="G67" s="63"/>
      <c r="H67" s="63" t="s">
        <v>34</v>
      </c>
      <c r="I67" s="68">
        <f t="shared" si="10"/>
        <v>0</v>
      </c>
      <c r="J67" s="65"/>
      <c r="K67" s="140"/>
    </row>
    <row r="68" spans="2:11" ht="46.9" customHeight="1" thickBot="1">
      <c r="B68" s="66">
        <v>94238</v>
      </c>
      <c r="C68" s="63" t="s">
        <v>87</v>
      </c>
      <c r="D68" s="63">
        <v>5</v>
      </c>
      <c r="E68" s="63">
        <v>50</v>
      </c>
      <c r="F68" s="63">
        <f t="shared" si="12"/>
        <v>250</v>
      </c>
      <c r="G68" s="63"/>
      <c r="H68" s="63" t="s">
        <v>34</v>
      </c>
      <c r="I68" s="68">
        <f t="shared" si="10"/>
        <v>0</v>
      </c>
      <c r="J68" s="65"/>
      <c r="K68" s="141"/>
    </row>
    <row r="69" spans="2:11" ht="23.25">
      <c r="B69" s="23">
        <v>94253</v>
      </c>
      <c r="C69" s="24" t="s">
        <v>88</v>
      </c>
      <c r="D69" s="24">
        <v>5</v>
      </c>
      <c r="E69" s="24">
        <v>60</v>
      </c>
      <c r="F69" s="24">
        <f t="shared" si="12"/>
        <v>300</v>
      </c>
      <c r="G69" s="24"/>
      <c r="H69" s="24" t="s">
        <v>34</v>
      </c>
      <c r="I69" s="26">
        <f t="shared" si="10"/>
        <v>0</v>
      </c>
      <c r="J69" s="34"/>
    </row>
    <row r="70" spans="2:11" ht="23.25">
      <c r="B70" s="23">
        <v>94340</v>
      </c>
      <c r="C70" s="24" t="s">
        <v>89</v>
      </c>
      <c r="D70" s="24">
        <v>18</v>
      </c>
      <c r="E70" s="24">
        <v>444</v>
      </c>
      <c r="F70" s="24">
        <f t="shared" si="12"/>
        <v>7992</v>
      </c>
      <c r="G70" s="24"/>
      <c r="H70" s="24" t="s">
        <v>34</v>
      </c>
      <c r="I70" s="26">
        <f t="shared" si="10"/>
        <v>0</v>
      </c>
      <c r="J70" s="34"/>
    </row>
    <row r="71" spans="2:11" ht="23.25">
      <c r="B71" s="23">
        <v>94341</v>
      </c>
      <c r="C71" s="24" t="s">
        <v>90</v>
      </c>
      <c r="D71" s="24">
        <v>18</v>
      </c>
      <c r="E71" s="24">
        <v>684</v>
      </c>
      <c r="F71" s="24">
        <f t="shared" si="12"/>
        <v>12312</v>
      </c>
      <c r="G71" s="24"/>
      <c r="H71" s="24" t="s">
        <v>34</v>
      </c>
      <c r="I71" s="26">
        <f t="shared" si="10"/>
        <v>0</v>
      </c>
      <c r="J71" s="34"/>
    </row>
    <row r="72" spans="2:11" ht="23.25">
      <c r="B72" s="23">
        <v>94342</v>
      </c>
      <c r="C72" s="24" t="s">
        <v>91</v>
      </c>
      <c r="D72" s="24">
        <v>18</v>
      </c>
      <c r="E72" s="24">
        <v>480</v>
      </c>
      <c r="F72" s="24">
        <f t="shared" si="12"/>
        <v>8640</v>
      </c>
      <c r="G72" s="24"/>
      <c r="H72" s="24" t="s">
        <v>34</v>
      </c>
      <c r="I72" s="26">
        <f t="shared" si="10"/>
        <v>0</v>
      </c>
      <c r="J72" s="34"/>
    </row>
    <row r="73" spans="2:11" ht="23.25">
      <c r="B73" s="23">
        <v>97030</v>
      </c>
      <c r="C73" s="24" t="s">
        <v>92</v>
      </c>
      <c r="D73" s="24">
        <v>20</v>
      </c>
      <c r="E73" s="24">
        <v>120</v>
      </c>
      <c r="F73" s="24">
        <f t="shared" si="12"/>
        <v>2400</v>
      </c>
      <c r="G73" s="24"/>
      <c r="H73" s="24" t="s">
        <v>34</v>
      </c>
      <c r="I73" s="26">
        <f t="shared" si="10"/>
        <v>0</v>
      </c>
      <c r="J73" s="34"/>
    </row>
    <row r="74" spans="2:11" ht="23.25">
      <c r="B74" s="23">
        <v>97031</v>
      </c>
      <c r="C74" s="24" t="s">
        <v>93</v>
      </c>
      <c r="D74" s="24">
        <v>20</v>
      </c>
      <c r="E74" s="24">
        <v>7200</v>
      </c>
      <c r="F74" s="24">
        <f t="shared" si="12"/>
        <v>144000</v>
      </c>
      <c r="G74" s="24"/>
      <c r="H74" s="24" t="s">
        <v>34</v>
      </c>
      <c r="I74" s="26">
        <f t="shared" si="10"/>
        <v>0</v>
      </c>
      <c r="J74" s="34"/>
    </row>
    <row r="75" spans="2:11" ht="24" thickBot="1">
      <c r="B75" s="23">
        <v>97032</v>
      </c>
      <c r="C75" s="24" t="s">
        <v>94</v>
      </c>
      <c r="D75" s="24">
        <v>20</v>
      </c>
      <c r="E75" s="24">
        <v>240</v>
      </c>
      <c r="F75" s="24">
        <f t="shared" si="12"/>
        <v>4800</v>
      </c>
      <c r="G75" s="24"/>
      <c r="H75" s="24" t="s">
        <v>34</v>
      </c>
      <c r="I75" s="26">
        <f t="shared" si="10"/>
        <v>0</v>
      </c>
      <c r="J75" s="34"/>
    </row>
    <row r="76" spans="2:11" ht="46.9" customHeight="1">
      <c r="B76" s="51">
        <v>97036</v>
      </c>
      <c r="C76" s="52" t="s">
        <v>95</v>
      </c>
      <c r="D76" s="52">
        <v>50</v>
      </c>
      <c r="E76" s="52">
        <v>30</v>
      </c>
      <c r="F76" s="52">
        <f t="shared" si="12"/>
        <v>1500</v>
      </c>
      <c r="G76" s="52"/>
      <c r="H76" s="52" t="s">
        <v>34</v>
      </c>
      <c r="I76" s="53">
        <f t="shared" si="10"/>
        <v>0</v>
      </c>
      <c r="J76" s="58"/>
      <c r="K76" s="139" t="s">
        <v>120</v>
      </c>
    </row>
    <row r="77" spans="2:11" ht="46.9" customHeight="1">
      <c r="B77" s="51">
        <v>97038</v>
      </c>
      <c r="C77" s="52" t="s">
        <v>96</v>
      </c>
      <c r="D77" s="52">
        <v>120</v>
      </c>
      <c r="E77" s="52">
        <v>150</v>
      </c>
      <c r="F77" s="52">
        <f t="shared" si="12"/>
        <v>18000</v>
      </c>
      <c r="G77" s="52"/>
      <c r="H77" s="52" t="s">
        <v>34</v>
      </c>
      <c r="I77" s="53">
        <f t="shared" si="10"/>
        <v>0</v>
      </c>
      <c r="J77" s="58"/>
      <c r="K77" s="140"/>
    </row>
    <row r="78" spans="2:11" ht="46.9" customHeight="1" thickBot="1">
      <c r="B78" s="51">
        <v>97039</v>
      </c>
      <c r="C78" s="52" t="s">
        <v>97</v>
      </c>
      <c r="D78" s="52">
        <v>120</v>
      </c>
      <c r="E78" s="52">
        <v>378</v>
      </c>
      <c r="F78" s="52">
        <f>E78*D78</f>
        <v>45360</v>
      </c>
      <c r="G78" s="59"/>
      <c r="H78" s="52" t="s">
        <v>34</v>
      </c>
      <c r="I78" s="53">
        <f t="shared" si="10"/>
        <v>0</v>
      </c>
      <c r="J78" s="58"/>
      <c r="K78" s="141"/>
    </row>
    <row r="79" spans="2:11" ht="23.25">
      <c r="B79" s="23">
        <v>97381</v>
      </c>
      <c r="C79" s="24" t="s">
        <v>98</v>
      </c>
      <c r="D79" s="24">
        <v>18</v>
      </c>
      <c r="E79" s="24">
        <v>192</v>
      </c>
      <c r="F79" s="24">
        <f>E79*D79</f>
        <v>3456</v>
      </c>
      <c r="G79" s="35"/>
      <c r="H79" s="24" t="s">
        <v>34</v>
      </c>
      <c r="I79" s="26">
        <f t="shared" si="10"/>
        <v>0</v>
      </c>
      <c r="J79" s="34"/>
    </row>
    <row r="80" spans="2:11" ht="23.25">
      <c r="B80" s="23">
        <v>97382</v>
      </c>
      <c r="C80" s="24" t="s">
        <v>99</v>
      </c>
      <c r="D80" s="24">
        <v>18</v>
      </c>
      <c r="E80" s="24">
        <v>96</v>
      </c>
      <c r="F80" s="24">
        <f>E80*D80</f>
        <v>1728</v>
      </c>
      <c r="G80" s="35"/>
      <c r="H80" s="24" t="s">
        <v>34</v>
      </c>
      <c r="I80" s="26">
        <f>G80*E80</f>
        <v>0</v>
      </c>
      <c r="J80" s="34"/>
    </row>
    <row r="81" spans="2:11" ht="24" thickBot="1">
      <c r="B81" s="23">
        <v>97383</v>
      </c>
      <c r="C81" s="24" t="s">
        <v>100</v>
      </c>
      <c r="D81" s="24">
        <v>18</v>
      </c>
      <c r="E81" s="24">
        <v>36</v>
      </c>
      <c r="F81" s="24">
        <f t="shared" ref="F81" si="14">D81*E81</f>
        <v>648</v>
      </c>
      <c r="G81" s="35"/>
      <c r="H81" s="24" t="s">
        <v>34</v>
      </c>
      <c r="I81" s="26">
        <f t="shared" ref="I81" si="15">G81*E81</f>
        <v>0</v>
      </c>
      <c r="J81" s="34"/>
    </row>
    <row r="82" spans="2:11" ht="46.9" customHeight="1">
      <c r="B82" s="54">
        <v>97935</v>
      </c>
      <c r="C82" s="55" t="s">
        <v>101</v>
      </c>
      <c r="D82" s="55">
        <v>30</v>
      </c>
      <c r="E82" s="55">
        <v>120</v>
      </c>
      <c r="F82" s="55">
        <f>E82*D82</f>
        <v>3600</v>
      </c>
      <c r="G82" s="55"/>
      <c r="H82" s="55" t="s">
        <v>34</v>
      </c>
      <c r="I82" s="56">
        <f t="shared" si="10"/>
        <v>0</v>
      </c>
      <c r="J82" s="57" t="s">
        <v>4</v>
      </c>
      <c r="K82" s="139" t="s">
        <v>120</v>
      </c>
    </row>
    <row r="83" spans="2:11" ht="46.9" customHeight="1">
      <c r="B83" s="54">
        <v>97936</v>
      </c>
      <c r="C83" s="55" t="s">
        <v>102</v>
      </c>
      <c r="D83" s="55">
        <v>25</v>
      </c>
      <c r="E83" s="55">
        <v>1000</v>
      </c>
      <c r="F83" s="55">
        <f t="shared" ref="F83:F87" si="16">E83*D83</f>
        <v>25000</v>
      </c>
      <c r="G83" s="55"/>
      <c r="H83" s="55" t="s">
        <v>34</v>
      </c>
      <c r="I83" s="56">
        <f t="shared" si="10"/>
        <v>0</v>
      </c>
      <c r="J83" s="57"/>
      <c r="K83" s="140"/>
    </row>
    <row r="84" spans="2:11" ht="46.9" customHeight="1">
      <c r="B84" s="54">
        <v>97937</v>
      </c>
      <c r="C84" s="55" t="s">
        <v>103</v>
      </c>
      <c r="D84" s="55">
        <v>15</v>
      </c>
      <c r="E84" s="55">
        <v>200</v>
      </c>
      <c r="F84" s="55">
        <f t="shared" si="16"/>
        <v>3000</v>
      </c>
      <c r="G84" s="55"/>
      <c r="H84" s="55" t="s">
        <v>34</v>
      </c>
      <c r="I84" s="56">
        <f t="shared" si="10"/>
        <v>0</v>
      </c>
      <c r="J84" s="57"/>
      <c r="K84" s="140"/>
    </row>
    <row r="85" spans="2:11" ht="46.9" customHeight="1">
      <c r="B85" s="54" t="s">
        <v>104</v>
      </c>
      <c r="C85" s="55" t="s">
        <v>105</v>
      </c>
      <c r="D85" s="55">
        <v>5</v>
      </c>
      <c r="E85" s="55">
        <v>15</v>
      </c>
      <c r="F85" s="55">
        <f t="shared" si="16"/>
        <v>75</v>
      </c>
      <c r="G85" s="55"/>
      <c r="H85" s="55" t="s">
        <v>34</v>
      </c>
      <c r="I85" s="56">
        <f t="shared" si="10"/>
        <v>0</v>
      </c>
      <c r="J85" s="57"/>
      <c r="K85" s="140"/>
    </row>
    <row r="86" spans="2:11" ht="46.9" customHeight="1" thickBot="1">
      <c r="B86" s="54" t="s">
        <v>106</v>
      </c>
      <c r="C86" s="55" t="s">
        <v>107</v>
      </c>
      <c r="D86" s="55">
        <v>5</v>
      </c>
      <c r="E86" s="55">
        <v>10</v>
      </c>
      <c r="F86" s="55">
        <f t="shared" si="16"/>
        <v>50</v>
      </c>
      <c r="G86" s="55"/>
      <c r="H86" s="55" t="s">
        <v>34</v>
      </c>
      <c r="I86" s="56">
        <f t="shared" si="10"/>
        <v>0</v>
      </c>
      <c r="J86" s="57"/>
      <c r="K86" s="141"/>
    </row>
    <row r="87" spans="2:11" ht="23.25">
      <c r="B87" s="23">
        <v>98815</v>
      </c>
      <c r="C87" s="24" t="s">
        <v>108</v>
      </c>
      <c r="D87" s="24">
        <v>96</v>
      </c>
      <c r="E87" s="24">
        <v>32</v>
      </c>
      <c r="F87" s="24">
        <f t="shared" si="16"/>
        <v>3072</v>
      </c>
      <c r="G87" s="24"/>
      <c r="H87" s="24" t="s">
        <v>34</v>
      </c>
      <c r="I87" s="26">
        <f t="shared" si="10"/>
        <v>0</v>
      </c>
      <c r="J87" s="34"/>
    </row>
    <row r="88" spans="2:11" ht="23.25">
      <c r="B88" s="23">
        <v>98816</v>
      </c>
      <c r="C88" s="24" t="s">
        <v>109</v>
      </c>
      <c r="D88" s="24">
        <v>96</v>
      </c>
      <c r="E88" s="24">
        <v>480</v>
      </c>
      <c r="F88" s="24">
        <f>D88*E88</f>
        <v>46080</v>
      </c>
      <c r="G88" s="24"/>
      <c r="H88" s="24" t="s">
        <v>34</v>
      </c>
      <c r="I88" s="26">
        <f t="shared" si="10"/>
        <v>0</v>
      </c>
      <c r="J88" s="34"/>
    </row>
    <row r="89" spans="2:11" ht="24" thickBot="1">
      <c r="B89" s="23">
        <v>98912</v>
      </c>
      <c r="C89" s="24" t="s">
        <v>110</v>
      </c>
      <c r="D89" s="24">
        <v>50</v>
      </c>
      <c r="E89" s="24">
        <v>192</v>
      </c>
      <c r="F89" s="24">
        <f t="shared" ref="F89" si="17">D89*E89</f>
        <v>9600</v>
      </c>
      <c r="G89" s="24"/>
      <c r="H89" s="24" t="s">
        <v>34</v>
      </c>
      <c r="I89" s="26">
        <f t="shared" si="10"/>
        <v>0</v>
      </c>
      <c r="J89" s="34"/>
    </row>
    <row r="90" spans="2:11" ht="47.25" customHeight="1" thickBot="1">
      <c r="B90" s="120" t="s">
        <v>111</v>
      </c>
      <c r="C90" s="121"/>
      <c r="D90" s="121"/>
      <c r="E90" s="121"/>
      <c r="F90" s="121"/>
      <c r="G90" s="121"/>
      <c r="H90" s="122"/>
      <c r="I90" s="36">
        <f>SUM(I16:I89)</f>
        <v>0</v>
      </c>
      <c r="J90" s="37"/>
    </row>
    <row r="91" spans="2:11" ht="19.5">
      <c r="B91" s="99" t="s">
        <v>112</v>
      </c>
      <c r="C91" s="100"/>
      <c r="D91" s="101"/>
      <c r="E91" s="102" t="s">
        <v>113</v>
      </c>
      <c r="F91" s="100"/>
      <c r="G91" s="100"/>
      <c r="H91" s="100"/>
      <c r="I91" s="100"/>
      <c r="J91" s="103"/>
    </row>
    <row r="92" spans="2:11" ht="19.5">
      <c r="B92" s="123" t="s">
        <v>114</v>
      </c>
      <c r="C92" s="124"/>
      <c r="D92" s="125"/>
      <c r="E92" s="126" t="s">
        <v>6</v>
      </c>
      <c r="F92" s="124"/>
      <c r="G92" s="124"/>
      <c r="H92" s="124"/>
      <c r="I92" s="124"/>
      <c r="J92" s="127"/>
    </row>
    <row r="93" spans="2:11" ht="19.5">
      <c r="B93" s="128" t="s">
        <v>115</v>
      </c>
      <c r="C93" s="129"/>
      <c r="D93" s="130"/>
      <c r="E93" s="134" t="s">
        <v>116</v>
      </c>
      <c r="F93" s="134"/>
      <c r="G93" s="134"/>
      <c r="H93" s="134"/>
      <c r="I93" s="134"/>
      <c r="J93" s="135"/>
    </row>
    <row r="94" spans="2:11" ht="19.5">
      <c r="B94" s="131"/>
      <c r="C94" s="132"/>
      <c r="D94" s="133"/>
      <c r="E94" s="136" t="s">
        <v>117</v>
      </c>
      <c r="F94" s="137"/>
      <c r="G94" s="137"/>
      <c r="H94" s="137"/>
      <c r="I94" s="137"/>
      <c r="J94" s="138"/>
    </row>
    <row r="95" spans="2:11" ht="19.5">
      <c r="B95" s="38"/>
      <c r="C95" s="39"/>
      <c r="D95" s="39"/>
      <c r="E95" s="40"/>
      <c r="F95" s="39"/>
      <c r="G95" s="41"/>
      <c r="H95" s="41"/>
      <c r="I95" s="42"/>
      <c r="J95" s="43"/>
    </row>
    <row r="96" spans="2:11" ht="19.5">
      <c r="B96" s="38"/>
      <c r="C96" s="39"/>
      <c r="D96" s="39"/>
      <c r="E96" s="40"/>
      <c r="F96" s="39"/>
      <c r="G96" s="41"/>
      <c r="H96" s="41"/>
      <c r="I96" s="142" t="s">
        <v>118</v>
      </c>
      <c r="J96" s="143"/>
    </row>
    <row r="97" spans="2:10" ht="19.5">
      <c r="B97" s="38"/>
      <c r="C97" s="44"/>
      <c r="D97" s="39"/>
      <c r="E97" s="39"/>
      <c r="F97" s="46"/>
      <c r="G97" s="46"/>
      <c r="H97" s="39"/>
      <c r="I97" s="46"/>
      <c r="J97" s="45"/>
    </row>
    <row r="98" spans="2:10" ht="43.9" customHeight="1" thickBot="1">
      <c r="B98" s="47"/>
      <c r="C98" s="48"/>
      <c r="D98" s="49"/>
      <c r="E98" s="49"/>
      <c r="F98" s="50"/>
      <c r="G98" s="50"/>
      <c r="H98" s="49"/>
      <c r="I98" s="107" t="s">
        <v>119</v>
      </c>
      <c r="J98" s="108"/>
    </row>
    <row r="99" spans="2:10" ht="43.9" customHeight="1"/>
    <row r="100" spans="2:10" ht="43.9" customHeight="1"/>
  </sheetData>
  <mergeCells count="46">
    <mergeCell ref="I98:J98"/>
    <mergeCell ref="K20:K45"/>
    <mergeCell ref="K48:K55"/>
    <mergeCell ref="K64:K68"/>
    <mergeCell ref="K76:K78"/>
    <mergeCell ref="K82:K86"/>
    <mergeCell ref="I96:J96"/>
    <mergeCell ref="J14:J15"/>
    <mergeCell ref="B90:H90"/>
    <mergeCell ref="B92:D92"/>
    <mergeCell ref="E92:J92"/>
    <mergeCell ref="B93:D94"/>
    <mergeCell ref="E93:J93"/>
    <mergeCell ref="E94:J94"/>
    <mergeCell ref="H7:J7"/>
    <mergeCell ref="B91:D91"/>
    <mergeCell ref="E91:J91"/>
    <mergeCell ref="B9:J9"/>
    <mergeCell ref="H12:J12"/>
    <mergeCell ref="B13:C13"/>
    <mergeCell ref="D13:F13"/>
    <mergeCell ref="G13:J13"/>
    <mergeCell ref="B14:B15"/>
    <mergeCell ref="C14:C15"/>
    <mergeCell ref="D14:D15"/>
    <mergeCell ref="E14:E15"/>
    <mergeCell ref="F14:F15"/>
    <mergeCell ref="G14:G15"/>
    <mergeCell ref="H14:H15"/>
    <mergeCell ref="I14:I15"/>
    <mergeCell ref="B1:J1"/>
    <mergeCell ref="B2:D2"/>
    <mergeCell ref="E2:G2"/>
    <mergeCell ref="B3:B7"/>
    <mergeCell ref="C3:D3"/>
    <mergeCell ref="E3:G3"/>
    <mergeCell ref="H3:J3"/>
    <mergeCell ref="C4:D4"/>
    <mergeCell ref="H4:J4"/>
    <mergeCell ref="C5:D5"/>
    <mergeCell ref="E5:G5"/>
    <mergeCell ref="H5:J5"/>
    <mergeCell ref="C6:D6"/>
    <mergeCell ref="E6:G6"/>
    <mergeCell ref="C7:D7"/>
    <mergeCell ref="E7:G7"/>
  </mergeCells>
  <pageMargins left="0.25" right="0.3" top="0.27" bottom="0.24" header="0.2" footer="0.2"/>
  <pageSetup paperSize="9" scale="4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kwikpatch</cp:lastModifiedBy>
  <cp:lastPrinted>2026-06-24T10:26:02Z</cp:lastPrinted>
  <dcterms:created xsi:type="dcterms:W3CDTF">2026-06-24T10:14:27Z</dcterms:created>
  <dcterms:modified xsi:type="dcterms:W3CDTF">2026-09-02T04:01:31Z</dcterms:modified>
</cp:coreProperties>
</file>
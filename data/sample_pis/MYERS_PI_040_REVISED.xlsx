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wikpatch\Downloads\"/>
    </mc:Choice>
  </mc:AlternateContent>
  <xr:revisionPtr revIDLastSave="0" documentId="13_ncr:1_{04BE61B6-17D3-45D3-BDA4-D2166682669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Sheet1!$A$15:$J$88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3" i="1" l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8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Sreeja</author>
  </authors>
  <commentList>
    <comment ref="D4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Sreeja:</t>
        </r>
        <r>
          <rPr>
            <sz val="9"/>
            <color indexed="81"/>
            <rFont val="Tahoma"/>
            <family val="2"/>
          </rPr>
          <t xml:space="preserve">
50</t>
        </r>
      </text>
    </comment>
  </commentList>
</comments>
</file>

<file path=xl/sharedStrings.xml><?xml version="1.0" encoding="utf-8"?>
<sst xmlns="http://schemas.openxmlformats.org/spreadsheetml/2006/main" count="190" uniqueCount="111">
  <si>
    <t>PROFORMA INVOICE</t>
  </si>
  <si>
    <t>EXPORTER</t>
  </si>
  <si>
    <t>BUYER</t>
  </si>
  <si>
    <t>NOTIFY</t>
  </si>
  <si>
    <t xml:space="preserve"> </t>
  </si>
  <si>
    <t xml:space="preserve">KWIK PATCH PRIVATE LIMITED        </t>
  </si>
  <si>
    <t>MYERS TIRE SUPPLY</t>
  </si>
  <si>
    <t>MYERS TIRE SUPPLY DISTRIBUTION INC</t>
  </si>
  <si>
    <t>First Floor, No. 2 Sree Ganesh,</t>
  </si>
  <si>
    <t>1293 SOUTH MAIN ST , AKRON OHIO 44301</t>
  </si>
  <si>
    <t>6th Street, K.V. Colony,</t>
  </si>
  <si>
    <t>TEL :330-253-5592</t>
  </si>
  <si>
    <t>West Mambalam, Chennai 600 033.</t>
  </si>
  <si>
    <t>E-Mail:: dtemple@myerstiresupply.com</t>
  </si>
  <si>
    <t>Email : menon@kwikpatch.com</t>
  </si>
  <si>
    <t>Tel :330-761-6146</t>
  </si>
  <si>
    <t>tel :330-761-6146</t>
  </si>
  <si>
    <t>PI NO. 040 DATED 08.05.2026 AGAINST PO NO. 256028 DATED 07.05.2026</t>
  </si>
  <si>
    <t>DEAR SIRS,</t>
  </si>
  <si>
    <t>WE SHALL ARRANGE TO SUPPLY THE FOLLOWING ITEMS, AS REQUESTED BY YOU ON FOB</t>
  </si>
  <si>
    <t>AS PER PER PRICE, TERMS &amp; CONDITIONS QUOTED HEREUNDER:-</t>
  </si>
  <si>
    <t>MODE OF SHIPMENT</t>
  </si>
  <si>
    <t>BY SEA</t>
  </si>
  <si>
    <t>FOB</t>
  </si>
  <si>
    <t>PRODUCT CODE</t>
  </si>
  <si>
    <t>PRODUCT DESCRIPTION</t>
  </si>
  <si>
    <t>QTY PER BOX</t>
  </si>
  <si>
    <t>TOTAL ORDER BOXES</t>
  </si>
  <si>
    <t>TOTAL NO.OF UNITS</t>
  </si>
  <si>
    <t>PRICE/BOX IN USD</t>
  </si>
  <si>
    <t>PER</t>
  </si>
  <si>
    <t>TOTAL VALUE IN USD</t>
  </si>
  <si>
    <t>SPECIFICATIONS</t>
  </si>
  <si>
    <t>Patch PR 2 Chemical Cure</t>
  </si>
  <si>
    <t>BOX</t>
  </si>
  <si>
    <t>Patch PR 7A Chemical Cure</t>
  </si>
  <si>
    <t>Patch PR 5 Chemical Cure</t>
  </si>
  <si>
    <t>Patch PR 6 Chemical Cure</t>
  </si>
  <si>
    <t>Patch CX 3 Bias Repair</t>
  </si>
  <si>
    <t>PATCH CX 4 BIAS REPAIR</t>
  </si>
  <si>
    <t>Patch CX DC 3-2 Bias Repair</t>
  </si>
  <si>
    <t>Patch CX DC 4-2 Bias Repair</t>
  </si>
  <si>
    <t xml:space="preserve">CX DC 6-2 </t>
  </si>
  <si>
    <t xml:space="preserve">CX DC 5-3 </t>
  </si>
  <si>
    <t>Patch CX DC 6-4 Bias Repair</t>
  </si>
  <si>
    <t>SMALL RADIAL</t>
  </si>
  <si>
    <t>BUL 2-DC10</t>
  </si>
  <si>
    <t>Patch Bullseye 2 Dual Cure 12</t>
  </si>
  <si>
    <t>Patch Bullseye 2 Dual Cure 14</t>
  </si>
  <si>
    <t>Patch Bullseye 2 Dual Cure 20</t>
  </si>
  <si>
    <t>Patch 1/8" Pilot Patch Plugs</t>
  </si>
  <si>
    <t>Patch 3/8" Pilot Patch Plugs</t>
  </si>
  <si>
    <t>Patch SR RD DC Patch</t>
  </si>
  <si>
    <t>Patch MR RD DC Patch</t>
  </si>
  <si>
    <t>Patch LR RD DC Patch</t>
  </si>
  <si>
    <t>Patch Universal UP 1 Patches,</t>
  </si>
  <si>
    <t>Patch Universal UP 2 Patches</t>
  </si>
  <si>
    <t>Patch Universal UP 3 Patches</t>
  </si>
  <si>
    <t>Patch TB UP 2, Box of 200</t>
  </si>
  <si>
    <t>Patch UP1 Universal Repair</t>
  </si>
  <si>
    <t>Patch 1/4" Plug Stems</t>
  </si>
  <si>
    <t>Patch 3/8" Plug Stems</t>
  </si>
  <si>
    <t>STRING BRN PSG PRC 25/BX</t>
  </si>
  <si>
    <t>PATCH TRUCK HD STRINGS BROWN</t>
  </si>
  <si>
    <t>STRING SKNYBLK PRC 50/BG</t>
  </si>
  <si>
    <t>Vulcatek CVUP 1</t>
  </si>
  <si>
    <t>Vulcatek CVUP 2</t>
  </si>
  <si>
    <t>Vulcatek CVUP 3</t>
  </si>
  <si>
    <t>CVB 32</t>
  </si>
  <si>
    <t xml:space="preserve">VULCATEK CVB 42 </t>
  </si>
  <si>
    <t>Vulcatek CVB 52 Bias Patch</t>
  </si>
  <si>
    <t>Vulcatek CVR 10 Radial</t>
  </si>
  <si>
    <t>Vulcatek CVR 12  Radial</t>
  </si>
  <si>
    <t>Vulcatek CVR 14  Radial</t>
  </si>
  <si>
    <t>Vulcatek CVR 20 Radial</t>
  </si>
  <si>
    <t>Vulcatek CVR 40 Radial</t>
  </si>
  <si>
    <t>CVT 1</t>
  </si>
  <si>
    <t>CVT 2</t>
  </si>
  <si>
    <t>CVT 3</t>
  </si>
  <si>
    <t>CVT4</t>
  </si>
  <si>
    <t>Vulcatek 1/8" Pilot Wire Patc</t>
  </si>
  <si>
    <t>Vulcatek 1/4" Pilot Wire Patc</t>
  </si>
  <si>
    <t>Vulcatek 3/8" Pilot Wire Patc</t>
  </si>
  <si>
    <t>Ready Patch 1/8 Pilot WirePlu</t>
  </si>
  <si>
    <t>Ready Patch 1/4 Pilot WirePlu</t>
  </si>
  <si>
    <t>Ready Patch 3/8 Pilot WirePlu</t>
  </si>
  <si>
    <t>Ready Patch Small Radial Patch</t>
  </si>
  <si>
    <t>Ready Patch Round Radial , Medium Round</t>
  </si>
  <si>
    <t>Patch 1/4" Quill Combi</t>
  </si>
  <si>
    <t>Patch 5/16" Quill Combi</t>
  </si>
  <si>
    <t>RSR Small Round Patches</t>
  </si>
  <si>
    <t>RMR Medium Round Patches</t>
  </si>
  <si>
    <t>RLR Large Round Patches</t>
  </si>
  <si>
    <t>Patch 1/4" Pilot Patch Plug B</t>
  </si>
  <si>
    <t>Temporary Tire Repair String</t>
  </si>
  <si>
    <t>BUL DC 82 (5/BX)</t>
  </si>
  <si>
    <t>BUL DC 86 (5/BX)</t>
  </si>
  <si>
    <t>BUL DC 45 (5/BX)</t>
  </si>
  <si>
    <t>Patch, Bullseye2 -22 Dual Cure</t>
  </si>
  <si>
    <t>Patch, Bullseye2 -40 Heat Cure</t>
  </si>
  <si>
    <t>Patch, Bullseye2 -44 Heat Cure</t>
  </si>
  <si>
    <t>TOTAL IN USD</t>
  </si>
  <si>
    <t>PAYMENT TERMS</t>
  </si>
  <si>
    <t>60 DAYS</t>
  </si>
  <si>
    <t>SHIPPING MARKS</t>
  </si>
  <si>
    <t>SHIPMENT</t>
  </si>
  <si>
    <t>TO SHIP FROM FACTORY BY JUNE 2026 TO REACH BY 4TH AUGUST 2026</t>
  </si>
  <si>
    <t>FREIGHT VIA CH ROBINSON</t>
  </si>
  <si>
    <t xml:space="preserve"> For MYERS TIRE SUPPLY</t>
  </si>
  <si>
    <t>AUTHORISED SIGNATORY.</t>
  </si>
  <si>
    <t>SATARA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</si>
</sst>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_(* #,##0.00_);_(* \(#,##0.00\);_(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name val="Tahoma"/>
      <family val="2"/>
    </font>
    <font>
      <sz val="18"/>
      <color theme="1"/>
      <name val="Tahoma"/>
      <family val="2"/>
    </font>
    <font>
      <b/>
      <sz val="16"/>
      <color theme="1"/>
      <name val="Tahoma"/>
      <family val="2"/>
    </font>
    <font>
      <b/>
      <sz val="14"/>
      <name val="Tahoma"/>
      <family val="2"/>
    </font>
    <font>
      <sz val="16"/>
      <name val="Tahoma"/>
      <family val="2"/>
    </font>
    <font>
      <b/>
      <sz val="16"/>
      <name val="Tahoma"/>
      <family val="2"/>
    </font>
    <font>
      <sz val="14"/>
      <name val="Tahoma"/>
      <family val="2"/>
    </font>
    <font>
      <sz val="18"/>
      <name val="Calibri"/>
      <family val="2"/>
    </font>
    <font>
      <sz val="16"/>
      <name val="Aptos Narrow"/>
      <family val="2"/>
      <scheme val="minor"/>
    </font>
    <font>
      <sz val="18"/>
      <name val="Aptos Narrow"/>
      <family val="2"/>
      <scheme val="minor"/>
    </font>
    <font>
      <b/>
      <sz val="16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name val="Calibri"/>
      <family val="2"/>
    </font>
    <font>
      <b/>
      <sz val="20"/>
      <name val="Tahoma"/>
      <family val="2"/>
    </font>
    <font>
      <b/>
      <sz val="2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0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147">
    <xf numFmtId="0" fontId="0" fillId="0" borderId="0" xfId="0"/>
    <xf numFmtId="0" fontId="0" fillId="3" borderId="0" xfId="0" applyFill="1"/>
    <xf numFmtId="164" fontId="5" fillId="3" borderId="2" xfId="0" applyNumberFormat="1" applyFont="1" applyFill="1" applyBorder="1" applyAlignment="1">
      <alignment horizontal="left"/>
    </xf>
    <xf numFmtId="164" fontId="5" fillId="3" borderId="3" xfId="0" applyNumberFormat="1" applyFont="1" applyFill="1" applyBorder="1" applyAlignment="1">
      <alignment horizontal="left"/>
    </xf>
    <xf numFmtId="0" fontId="6" fillId="3" borderId="14" xfId="0" applyFont="1" applyFill="1" applyBorder="1" applyAlignment="1">
      <alignment horizontal="center" vertical="top"/>
    </xf>
    <xf numFmtId="0" fontId="8" fillId="3" borderId="15" xfId="0" applyFont="1" applyFill="1" applyBorder="1"/>
    <xf numFmtId="0" fontId="8" fillId="3" borderId="13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6" fillId="3" borderId="18" xfId="0" applyFont="1" applyFill="1" applyBorder="1" applyAlignment="1">
      <alignment horizontal="left" vertical="top"/>
    </xf>
    <xf numFmtId="0" fontId="8" fillId="3" borderId="0" xfId="0" applyFont="1" applyFill="1" applyAlignment="1">
      <alignment horizontal="left"/>
    </xf>
    <xf numFmtId="0" fontId="8" fillId="3" borderId="19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2" xfId="0" applyFont="1" applyFill="1" applyBorder="1"/>
    <xf numFmtId="164" fontId="6" fillId="3" borderId="2" xfId="0" applyNumberFormat="1" applyFont="1" applyFill="1" applyBorder="1"/>
    <xf numFmtId="2" fontId="6" fillId="3" borderId="2" xfId="0" applyNumberFormat="1" applyFont="1" applyFill="1" applyBorder="1" applyAlignment="1">
      <alignment horizontal="right"/>
    </xf>
    <xf numFmtId="0" fontId="6" fillId="3" borderId="3" xfId="0" applyFont="1" applyFill="1" applyBorder="1"/>
    <xf numFmtId="0" fontId="6" fillId="3" borderId="14" xfId="0" applyFont="1" applyFill="1" applyBorder="1"/>
    <xf numFmtId="0" fontId="6" fillId="3" borderId="0" xfId="0" applyFont="1" applyFill="1"/>
    <xf numFmtId="164" fontId="6" fillId="3" borderId="0" xfId="0" applyNumberFormat="1" applyFont="1" applyFill="1"/>
    <xf numFmtId="2" fontId="6" fillId="3" borderId="0" xfId="0" applyNumberFormat="1" applyFont="1" applyFill="1" applyAlignment="1">
      <alignment horizontal="right"/>
    </xf>
    <xf numFmtId="0" fontId="6" fillId="3" borderId="19" xfId="0" applyFont="1" applyFill="1" applyBorder="1"/>
    <xf numFmtId="164" fontId="7" fillId="3" borderId="0" xfId="0" applyNumberFormat="1" applyFont="1" applyFill="1" applyAlignment="1">
      <alignment horizontal="left"/>
    </xf>
    <xf numFmtId="0" fontId="9" fillId="5" borderId="31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165" fontId="9" fillId="5" borderId="15" xfId="0" applyNumberFormat="1" applyFont="1" applyFill="1" applyBorder="1" applyAlignment="1">
      <alignment horizontal="center" vertical="center" wrapText="1"/>
    </xf>
    <xf numFmtId="2" fontId="9" fillId="5" borderId="15" xfId="0" applyNumberFormat="1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2" fontId="9" fillId="8" borderId="15" xfId="0" applyNumberFormat="1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9" fillId="7" borderId="32" xfId="0" applyFont="1" applyFill="1" applyBorder="1" applyAlignment="1">
      <alignment horizontal="center" vertical="center" wrapText="1"/>
    </xf>
    <xf numFmtId="0" fontId="9" fillId="7" borderId="33" xfId="0" applyFont="1" applyFill="1" applyBorder="1" applyAlignment="1">
      <alignment horizontal="center" vertical="center" wrapText="1"/>
    </xf>
    <xf numFmtId="0" fontId="9" fillId="7" borderId="33" xfId="0" applyFont="1" applyFill="1" applyBorder="1" applyAlignment="1">
      <alignment horizontal="center" vertical="center"/>
    </xf>
    <xf numFmtId="165" fontId="9" fillId="7" borderId="33" xfId="0" applyNumberFormat="1" applyFont="1" applyFill="1" applyBorder="1" applyAlignment="1">
      <alignment horizontal="center" vertical="center" wrapText="1"/>
    </xf>
    <xf numFmtId="2" fontId="9" fillId="7" borderId="33" xfId="0" applyNumberFormat="1" applyFont="1" applyFill="1" applyBorder="1" applyAlignment="1">
      <alignment horizontal="center" vertical="center" wrapText="1"/>
    </xf>
    <xf numFmtId="0" fontId="5" fillId="7" borderId="34" xfId="0" applyFont="1" applyFill="1" applyBorder="1" applyAlignment="1">
      <alignment horizontal="center" vertical="center" wrapText="1"/>
    </xf>
    <xf numFmtId="2" fontId="11" fillId="3" borderId="15" xfId="0" applyNumberFormat="1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/>
    </xf>
    <xf numFmtId="2" fontId="6" fillId="3" borderId="0" xfId="1" applyNumberFormat="1" applyFont="1" applyFill="1" applyBorder="1" applyAlignment="1">
      <alignment horizontal="right"/>
    </xf>
    <xf numFmtId="0" fontId="7" fillId="3" borderId="19" xfId="0" applyFont="1" applyFill="1" applyBorder="1" applyAlignment="1">
      <alignment horizontal="center"/>
    </xf>
    <xf numFmtId="0" fontId="7" fillId="3" borderId="43" xfId="0" applyFont="1" applyFill="1" applyBorder="1"/>
    <xf numFmtId="0" fontId="7" fillId="3" borderId="23" xfId="0" applyFont="1" applyFill="1" applyBorder="1"/>
    <xf numFmtId="0" fontId="6" fillId="3" borderId="23" xfId="0" applyFont="1" applyFill="1" applyBorder="1"/>
    <xf numFmtId="0" fontId="7" fillId="3" borderId="23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165" fontId="15" fillId="6" borderId="15" xfId="0" applyNumberFormat="1" applyFont="1" applyFill="1" applyBorder="1" applyAlignment="1">
      <alignment horizontal="center" vertical="center" wrapText="1"/>
    </xf>
    <xf numFmtId="2" fontId="15" fillId="6" borderId="15" xfId="0" applyNumberFormat="1" applyFont="1" applyFill="1" applyBorder="1" applyAlignment="1">
      <alignment horizontal="center" vertical="center" wrapText="1"/>
    </xf>
    <xf numFmtId="0" fontId="16" fillId="6" borderId="16" xfId="0" applyFont="1" applyFill="1" applyBorder="1" applyAlignment="1">
      <alignment horizontal="center" vertical="center"/>
    </xf>
    <xf numFmtId="0" fontId="15" fillId="6" borderId="33" xfId="0" applyFont="1" applyFill="1" applyBorder="1" applyAlignment="1">
      <alignment horizontal="center" vertical="center" wrapText="1"/>
    </xf>
    <xf numFmtId="165" fontId="15" fillId="6" borderId="33" xfId="0" applyNumberFormat="1" applyFont="1" applyFill="1" applyBorder="1" applyAlignment="1">
      <alignment horizontal="center" vertical="center" wrapText="1"/>
    </xf>
    <xf numFmtId="2" fontId="15" fillId="6" borderId="33" xfId="0" applyNumberFormat="1" applyFont="1" applyFill="1" applyBorder="1" applyAlignment="1">
      <alignment horizontal="center" vertical="center" wrapText="1"/>
    </xf>
    <xf numFmtId="0" fontId="15" fillId="6" borderId="36" xfId="0" applyFont="1" applyFill="1" applyBorder="1" applyAlignment="1">
      <alignment horizontal="center" vertical="center" wrapText="1"/>
    </xf>
    <xf numFmtId="165" fontId="15" fillId="6" borderId="36" xfId="0" applyNumberFormat="1" applyFont="1" applyFill="1" applyBorder="1" applyAlignment="1">
      <alignment horizontal="center" vertical="center" wrapText="1"/>
    </xf>
    <xf numFmtId="2" fontId="15" fillId="6" borderId="36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vertical="center" textRotation="90"/>
    </xf>
    <xf numFmtId="0" fontId="18" fillId="3" borderId="0" xfId="0" applyFont="1" applyFill="1" applyAlignment="1">
      <alignment vertical="center" textRotation="90"/>
    </xf>
    <xf numFmtId="0" fontId="5" fillId="6" borderId="16" xfId="0" applyFont="1" applyFill="1" applyBorder="1" applyAlignment="1">
      <alignment horizontal="center" vertical="center" wrapText="1"/>
    </xf>
    <xf numFmtId="2" fontId="12" fillId="3" borderId="16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/>
    </xf>
    <xf numFmtId="15" fontId="7" fillId="3" borderId="0" xfId="0" applyNumberFormat="1" applyFont="1" applyFill="1" applyAlignment="1">
      <alignment horizontal="left"/>
    </xf>
    <xf numFmtId="164" fontId="6" fillId="3" borderId="0" xfId="0" applyNumberFormat="1" applyFont="1" applyFill="1" applyAlignment="1">
      <alignment horizontal="left"/>
    </xf>
    <xf numFmtId="0" fontId="15" fillId="9" borderId="31" xfId="0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 wrapText="1"/>
    </xf>
    <xf numFmtId="0" fontId="16" fillId="9" borderId="16" xfId="0" applyFont="1" applyFill="1" applyBorder="1" applyAlignment="1">
      <alignment horizontal="center" vertical="center"/>
    </xf>
    <xf numFmtId="0" fontId="19" fillId="6" borderId="31" xfId="0" applyFont="1" applyFill="1" applyBorder="1" applyAlignment="1">
      <alignment horizontal="center" vertical="center" wrapText="1"/>
    </xf>
    <xf numFmtId="0" fontId="19" fillId="6" borderId="15" xfId="0" applyFont="1" applyFill="1" applyBorder="1" applyAlignment="1">
      <alignment horizontal="center" vertical="center" wrapText="1"/>
    </xf>
    <xf numFmtId="0" fontId="19" fillId="6" borderId="33" xfId="0" applyFont="1" applyFill="1" applyBorder="1" applyAlignment="1">
      <alignment horizontal="center" vertical="center" wrapText="1"/>
    </xf>
    <xf numFmtId="0" fontId="19" fillId="6" borderId="15" xfId="0" applyFont="1" applyFill="1" applyBorder="1" applyAlignment="1">
      <alignment horizontal="center" vertical="center"/>
    </xf>
    <xf numFmtId="0" fontId="19" fillId="6" borderId="35" xfId="0" applyFont="1" applyFill="1" applyBorder="1" applyAlignment="1">
      <alignment horizontal="center" vertical="center" wrapText="1"/>
    </xf>
    <xf numFmtId="0" fontId="19" fillId="6" borderId="36" xfId="0" applyFont="1" applyFill="1" applyBorder="1" applyAlignment="1">
      <alignment horizontal="center" vertical="center" wrapText="1"/>
    </xf>
    <xf numFmtId="0" fontId="19" fillId="6" borderId="3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164" fontId="5" fillId="3" borderId="7" xfId="0" applyNumberFormat="1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left"/>
    </xf>
    <xf numFmtId="164" fontId="5" fillId="3" borderId="8" xfId="0" applyNumberFormat="1" applyFont="1" applyFill="1" applyBorder="1" applyAlignment="1">
      <alignment horizontal="left"/>
    </xf>
    <xf numFmtId="0" fontId="6" fillId="3" borderId="9" xfId="0" applyFont="1" applyFill="1" applyBorder="1" applyAlignment="1">
      <alignment horizontal="center" vertical="top"/>
    </xf>
    <xf numFmtId="0" fontId="6" fillId="3" borderId="14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7" fillId="3" borderId="10" xfId="0" applyFont="1" applyFill="1" applyBorder="1" applyAlignment="1">
      <alignment horizontal="left" vertical="top"/>
    </xf>
    <xf numFmtId="0" fontId="7" fillId="3" borderId="11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left" vertical="top"/>
    </xf>
    <xf numFmtId="0" fontId="6" fillId="3" borderId="11" xfId="0" applyFont="1" applyFill="1" applyBorder="1" applyAlignment="1">
      <alignment horizontal="left" vertical="top"/>
    </xf>
    <xf numFmtId="0" fontId="8" fillId="3" borderId="10" xfId="0" applyFont="1" applyFill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0" fontId="7" fillId="3" borderId="37" xfId="0" applyFont="1" applyFill="1" applyBorder="1" applyAlignment="1">
      <alignment horizontal="left"/>
    </xf>
    <xf numFmtId="0" fontId="7" fillId="3" borderId="38" xfId="0" applyFont="1" applyFill="1" applyBorder="1" applyAlignment="1">
      <alignment horizontal="left"/>
    </xf>
    <xf numFmtId="0" fontId="7" fillId="3" borderId="39" xfId="0" applyFont="1" applyFill="1" applyBorder="1" applyAlignment="1">
      <alignment horizontal="left"/>
    </xf>
    <xf numFmtId="0" fontId="7" fillId="3" borderId="40" xfId="0" applyFont="1" applyFill="1" applyBorder="1" applyAlignment="1">
      <alignment horizontal="left"/>
    </xf>
    <xf numFmtId="0" fontId="6" fillId="3" borderId="20" xfId="0" applyFont="1" applyFill="1" applyBorder="1" applyAlignment="1">
      <alignment horizontal="center" vertical="top"/>
    </xf>
    <xf numFmtId="0" fontId="6" fillId="3" borderId="21" xfId="0" applyFont="1" applyFill="1" applyBorder="1" applyAlignment="1">
      <alignment horizontal="center" vertical="top"/>
    </xf>
    <xf numFmtId="0" fontId="6" fillId="3" borderId="22" xfId="0" applyFont="1" applyFill="1" applyBorder="1" applyAlignment="1">
      <alignment horizontal="center" vertical="top"/>
    </xf>
    <xf numFmtId="164" fontId="7" fillId="3" borderId="23" xfId="0" applyNumberFormat="1" applyFont="1" applyFill="1" applyBorder="1" applyAlignment="1">
      <alignment horizontal="center"/>
    </xf>
    <xf numFmtId="164" fontId="7" fillId="3" borderId="24" xfId="0" applyNumberFormat="1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2" fontId="7" fillId="2" borderId="29" xfId="0" applyNumberFormat="1" applyFont="1" applyFill="1" applyBorder="1" applyAlignment="1">
      <alignment horizontal="center" vertical="center" wrapText="1"/>
    </xf>
    <xf numFmtId="2" fontId="7" fillId="2" borderId="15" xfId="0" applyNumberFormat="1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right" vertical="center" wrapText="1"/>
    </xf>
    <xf numFmtId="0" fontId="10" fillId="3" borderId="15" xfId="0" applyFont="1" applyFill="1" applyBorder="1" applyAlignment="1">
      <alignment horizontal="right" vertical="center" wrapText="1"/>
    </xf>
    <xf numFmtId="0" fontId="7" fillId="3" borderId="41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left" vertical="center"/>
    </xf>
    <xf numFmtId="0" fontId="7" fillId="3" borderId="42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37" xfId="0" applyFont="1" applyFill="1" applyBorder="1" applyAlignment="1">
      <alignment horizontal="left" vertical="center"/>
    </xf>
    <xf numFmtId="0" fontId="7" fillId="3" borderId="38" xfId="0" applyFont="1" applyFill="1" applyBorder="1" applyAlignment="1">
      <alignment horizontal="left" vertical="center"/>
    </xf>
    <xf numFmtId="15" fontId="7" fillId="3" borderId="15" xfId="0" applyNumberFormat="1" applyFont="1" applyFill="1" applyBorder="1" applyAlignment="1">
      <alignment horizontal="left" wrapText="1"/>
    </xf>
    <xf numFmtId="15" fontId="7" fillId="3" borderId="16" xfId="0" applyNumberFormat="1" applyFont="1" applyFill="1" applyBorder="1" applyAlignment="1">
      <alignment horizontal="left" wrapText="1"/>
    </xf>
    <xf numFmtId="15" fontId="7" fillId="3" borderId="12" xfId="0" applyNumberFormat="1" applyFont="1" applyFill="1" applyBorder="1" applyAlignment="1">
      <alignment horizontal="left"/>
    </xf>
    <xf numFmtId="15" fontId="7" fillId="3" borderId="10" xfId="0" applyNumberFormat="1" applyFont="1" applyFill="1" applyBorder="1" applyAlignment="1">
      <alignment horizontal="left"/>
    </xf>
    <xf numFmtId="15" fontId="7" fillId="3" borderId="13" xfId="0" applyNumberFormat="1" applyFont="1" applyFill="1" applyBorder="1" applyAlignment="1">
      <alignment horizontal="left"/>
    </xf>
    <xf numFmtId="0" fontId="17" fillId="3" borderId="3" xfId="0" applyFont="1" applyFill="1" applyBorder="1" applyAlignment="1">
      <alignment horizontal="center" vertical="center" textRotation="90"/>
    </xf>
    <xf numFmtId="0" fontId="17" fillId="3" borderId="19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8" fillId="3" borderId="3" xfId="0" applyFont="1" applyFill="1" applyBorder="1" applyAlignment="1">
      <alignment horizontal="center" vertical="center" textRotation="90"/>
    </xf>
    <xf numFmtId="0" fontId="18" fillId="3" borderId="19" xfId="0" applyFont="1" applyFill="1" applyBorder="1" applyAlignment="1">
      <alignment horizontal="center" vertical="center" textRotation="90"/>
    </xf>
    <xf numFmtId="0" fontId="18" fillId="3" borderId="24" xfId="0" applyFont="1" applyFill="1" applyBorder="1" applyAlignment="1">
      <alignment horizontal="center" vertical="center" textRotation="90"/>
    </xf>
    <xf numFmtId="164" fontId="7" fillId="3" borderId="0" xfId="0" applyNumberFormat="1" applyFont="1" applyFill="1" applyAlignment="1">
      <alignment horizontal="center"/>
    </xf>
    <xf numFmtId="164" fontId="7" fillId="3" borderId="19" xfId="0" applyNumberFormat="1" applyFont="1" applyFill="1" applyBorder="1" applyAlignment="1">
      <alignment horizontal="center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141968</xdr:colOff>
      <xdr:row>2</xdr:row>
      <xdr:rowOff>46264</xdr:rowOff>
    </xdr:from>
    <xdr:to>
      <xdr:col>1</xdr:col>
      <xdr:colOff>1263287</xdr:colOff>
      <xdr:row>10</xdr:row>
      <xdr:rowOff>97793</xdr:rowOff>
    </xdr:to>
    <xdr:pic>
      <xdr:nvPicPr>
        <xdr:cNvPr id="2" name="Picture 1" descr="KWIKLOGO.jpg">
          <a:extLst>
            <a:ext uri="{FF2B5EF4-FFF2-40B4-BE49-F238E27FC236}">
              <a16:creationId xmlns:a16="http://schemas.microsoft.com/office/drawing/2014/main" id="{84C211F7-6CB6-4DEC-82A7-C75AE8565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-26000" contrast="50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68" y="589189"/>
          <a:ext cx="1121319" cy="1575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397099</xdr:colOff>
      <xdr:row>89</xdr:row>
      <xdr:rowOff>54430</xdr:rowOff>
    </xdr:from>
    <xdr:to>
      <xdr:col>2</xdr:col>
      <xdr:colOff>1358175</xdr:colOff>
      <xdr:row>90</xdr:row>
      <xdr:rowOff>398319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BF254E-A2FB-4256-81C8-AD5B07081A6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963" y="44285066"/>
          <a:ext cx="2225303" cy="58634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93"/>
  <sheetViews>
    <sheetView tabSelected="1" zoomScale="40" zoomScaleNormal="40" workbookViewId="0">
      <selection activeCell="G14" sqref="G14:G15"/>
    </sheetView>
  </sheetViews>
  <sheetFormatPr defaultColWidth="9.125" defaultRowHeight="14.25"/>
  <cols>
    <col min="1" max="1" width="2.375" style="1" customWidth="1"/>
    <col min="2" max="2" width="19" style="1" customWidth="1"/>
    <col min="3" max="3" width="63.875" style="1" customWidth="1"/>
    <col min="4" max="4" width="12.625" style="1" customWidth="1"/>
    <col min="5" max="5" width="17.75" style="1" customWidth="1"/>
    <col min="6" max="6" width="24.25" style="1" customWidth="1"/>
    <col min="7" max="7" width="20.25" style="1" customWidth="1"/>
    <col min="8" max="8" width="10.875" style="1" customWidth="1"/>
    <col min="9" max="9" width="21.875" style="1" customWidth="1"/>
    <col min="10" max="10" width="26.875" style="1" customWidth="1"/>
    <col min="11" max="11" width="5.625" style="1" customWidth="1"/>
    <col min="12" max="16384" width="9.125" style="1"/>
  </cols>
  <sheetData>
    <row r="1" spans="2:10" ht="23.25" thickBot="1">
      <c r="B1" s="74" t="s">
        <v>0</v>
      </c>
      <c r="C1" s="75"/>
      <c r="D1" s="75"/>
      <c r="E1" s="75"/>
      <c r="F1" s="75"/>
      <c r="G1" s="75"/>
      <c r="H1" s="75"/>
      <c r="I1" s="75"/>
      <c r="J1" s="76"/>
    </row>
    <row r="2" spans="2:10" ht="19.5">
      <c r="B2" s="77" t="s">
        <v>1</v>
      </c>
      <c r="C2" s="78"/>
      <c r="D2" s="79"/>
      <c r="E2" s="80" t="s">
        <v>2</v>
      </c>
      <c r="F2" s="81"/>
      <c r="G2" s="82"/>
      <c r="H2" s="2" t="s">
        <v>3</v>
      </c>
      <c r="I2" s="2"/>
      <c r="J2" s="3"/>
    </row>
    <row r="3" spans="2:10" ht="19.5">
      <c r="B3" s="83" t="s">
        <v>4</v>
      </c>
      <c r="C3" s="86" t="s">
        <v>5</v>
      </c>
      <c r="D3" s="87"/>
      <c r="E3" s="88" t="s">
        <v>6</v>
      </c>
      <c r="F3" s="89"/>
      <c r="G3" s="90"/>
      <c r="H3" s="89" t="s">
        <v>7</v>
      </c>
      <c r="I3" s="89"/>
      <c r="J3" s="91"/>
    </row>
    <row r="4" spans="2:10" ht="19.5">
      <c r="B4" s="84"/>
      <c r="C4" s="92" t="s">
        <v>8</v>
      </c>
      <c r="D4" s="93"/>
      <c r="E4" s="5" t="s">
        <v>9</v>
      </c>
      <c r="F4" s="5"/>
      <c r="G4" s="5"/>
      <c r="H4" s="94" t="s">
        <v>9</v>
      </c>
      <c r="I4" s="94"/>
      <c r="J4" s="95"/>
    </row>
    <row r="5" spans="2:10" ht="19.5">
      <c r="B5" s="84"/>
      <c r="C5" s="92" t="s">
        <v>10</v>
      </c>
      <c r="D5" s="93"/>
      <c r="E5" s="96" t="s">
        <v>11</v>
      </c>
      <c r="F5" s="94"/>
      <c r="G5" s="97"/>
      <c r="H5" s="94" t="s">
        <v>11</v>
      </c>
      <c r="I5" s="94"/>
      <c r="J5" s="95"/>
    </row>
    <row r="6" spans="2:10" ht="19.5">
      <c r="B6" s="84"/>
      <c r="C6" s="92" t="s">
        <v>12</v>
      </c>
      <c r="D6" s="93"/>
      <c r="E6" s="98" t="s">
        <v>13</v>
      </c>
      <c r="F6" s="98"/>
      <c r="G6" s="98"/>
      <c r="H6" s="6" t="s">
        <v>13</v>
      </c>
      <c r="I6" s="7"/>
      <c r="J6" s="8"/>
    </row>
    <row r="7" spans="2:10" ht="19.5">
      <c r="B7" s="85"/>
      <c r="C7" s="92" t="s">
        <v>14</v>
      </c>
      <c r="D7" s="93"/>
      <c r="E7" s="96" t="s">
        <v>15</v>
      </c>
      <c r="F7" s="94"/>
      <c r="G7" s="97"/>
      <c r="H7" s="98" t="s">
        <v>16</v>
      </c>
      <c r="I7" s="98"/>
      <c r="J7" s="99"/>
    </row>
    <row r="8" spans="2:10" ht="20.25" thickBot="1">
      <c r="B8" s="4"/>
      <c r="C8" s="9"/>
      <c r="D8" s="9"/>
      <c r="E8" s="10"/>
      <c r="F8" s="10"/>
      <c r="G8" s="10"/>
      <c r="H8" s="10"/>
      <c r="I8" s="10"/>
      <c r="J8" s="11"/>
    </row>
    <row r="9" spans="2:10" ht="20.25" thickBot="1">
      <c r="B9" s="105" t="s">
        <v>17</v>
      </c>
      <c r="C9" s="106"/>
      <c r="D9" s="106"/>
      <c r="E9" s="106"/>
      <c r="F9" s="106"/>
      <c r="G9" s="106"/>
      <c r="H9" s="106"/>
      <c r="I9" s="106"/>
      <c r="J9" s="107"/>
    </row>
    <row r="10" spans="2:10" ht="19.5">
      <c r="B10" s="12" t="s">
        <v>18</v>
      </c>
      <c r="C10" s="13"/>
      <c r="D10" s="13"/>
      <c r="E10" s="13"/>
      <c r="F10" s="13"/>
      <c r="G10" s="14"/>
      <c r="H10" s="14"/>
      <c r="I10" s="15"/>
      <c r="J10" s="16"/>
    </row>
    <row r="11" spans="2:10" ht="19.5">
      <c r="B11" s="17" t="s">
        <v>19</v>
      </c>
      <c r="C11" s="18"/>
      <c r="D11" s="18"/>
      <c r="E11" s="18"/>
      <c r="F11" s="18"/>
      <c r="G11" s="19"/>
      <c r="H11" s="19"/>
      <c r="I11" s="20"/>
      <c r="J11" s="21"/>
    </row>
    <row r="12" spans="2:10" ht="20.25" thickBot="1">
      <c r="B12" s="17" t="s">
        <v>20</v>
      </c>
      <c r="C12" s="18"/>
      <c r="D12" s="18"/>
      <c r="E12" s="18"/>
      <c r="F12" s="18"/>
      <c r="G12" s="22" t="s">
        <v>4</v>
      </c>
      <c r="H12" s="108" t="s">
        <v>4</v>
      </c>
      <c r="I12" s="108"/>
      <c r="J12" s="109"/>
    </row>
    <row r="13" spans="2:10" ht="20.45" customHeight="1" thickBot="1">
      <c r="B13" s="110" t="s">
        <v>21</v>
      </c>
      <c r="C13" s="111"/>
      <c r="D13" s="111" t="s">
        <v>22</v>
      </c>
      <c r="E13" s="111"/>
      <c r="F13" s="111"/>
      <c r="G13" s="111" t="s">
        <v>23</v>
      </c>
      <c r="H13" s="111"/>
      <c r="I13" s="111"/>
      <c r="J13" s="112"/>
    </row>
    <row r="14" spans="2:10" ht="14.45" customHeight="1">
      <c r="B14" s="113" t="s">
        <v>24</v>
      </c>
      <c r="C14" s="115" t="s">
        <v>25</v>
      </c>
      <c r="D14" s="115" t="s">
        <v>26</v>
      </c>
      <c r="E14" s="115" t="s">
        <v>27</v>
      </c>
      <c r="F14" s="115" t="s">
        <v>28</v>
      </c>
      <c r="G14" s="115" t="s">
        <v>29</v>
      </c>
      <c r="H14" s="115" t="s">
        <v>30</v>
      </c>
      <c r="I14" s="117" t="s">
        <v>31</v>
      </c>
      <c r="J14" s="119" t="s">
        <v>32</v>
      </c>
    </row>
    <row r="15" spans="2:10" ht="47.25" customHeight="1">
      <c r="B15" s="114"/>
      <c r="C15" s="116"/>
      <c r="D15" s="116"/>
      <c r="E15" s="116"/>
      <c r="F15" s="116"/>
      <c r="G15" s="116"/>
      <c r="H15" s="116"/>
      <c r="I15" s="118"/>
      <c r="J15" s="120"/>
    </row>
    <row r="16" spans="2:10" ht="23.25">
      <c r="B16" s="23">
        <v>12002</v>
      </c>
      <c r="C16" s="24" t="s">
        <v>33</v>
      </c>
      <c r="D16" s="24">
        <v>30</v>
      </c>
      <c r="E16" s="24">
        <v>66</v>
      </c>
      <c r="F16" s="24">
        <f t="shared" ref="F16:F22" si="0">D16*E16</f>
        <v>1980</v>
      </c>
      <c r="G16" s="25"/>
      <c r="H16" s="24" t="s">
        <v>34</v>
      </c>
      <c r="I16" s="26">
        <f>G16*E16</f>
        <v>0</v>
      </c>
      <c r="J16" s="27"/>
    </row>
    <row r="17" spans="2:11" ht="23.25">
      <c r="B17" s="23">
        <v>12006</v>
      </c>
      <c r="C17" s="24" t="s">
        <v>35</v>
      </c>
      <c r="D17" s="24">
        <v>30</v>
      </c>
      <c r="E17" s="24">
        <v>6</v>
      </c>
      <c r="F17" s="24">
        <f t="shared" si="0"/>
        <v>180</v>
      </c>
      <c r="G17" s="25"/>
      <c r="H17" s="24" t="s">
        <v>34</v>
      </c>
      <c r="I17" s="26">
        <f>G17*E17</f>
        <v>0</v>
      </c>
      <c r="J17" s="27"/>
    </row>
    <row r="18" spans="2:11" ht="23.25">
      <c r="B18" s="23">
        <v>12018</v>
      </c>
      <c r="C18" s="24" t="s">
        <v>36</v>
      </c>
      <c r="D18" s="24">
        <v>10</v>
      </c>
      <c r="E18" s="24">
        <v>36</v>
      </c>
      <c r="F18" s="24">
        <f t="shared" si="0"/>
        <v>360</v>
      </c>
      <c r="G18" s="25"/>
      <c r="H18" s="24" t="s">
        <v>34</v>
      </c>
      <c r="I18" s="26">
        <f t="shared" ref="I18:I20" si="1">G18*E18</f>
        <v>0</v>
      </c>
      <c r="J18" s="27"/>
    </row>
    <row r="19" spans="2:11" ht="24" thickBot="1">
      <c r="B19" s="23">
        <v>12019</v>
      </c>
      <c r="C19" s="24" t="s">
        <v>37</v>
      </c>
      <c r="D19" s="24">
        <v>10</v>
      </c>
      <c r="E19" s="24">
        <v>12</v>
      </c>
      <c r="F19" s="24">
        <f t="shared" si="0"/>
        <v>120</v>
      </c>
      <c r="G19" s="25"/>
      <c r="H19" s="24" t="s">
        <v>34</v>
      </c>
      <c r="I19" s="26">
        <f t="shared" si="1"/>
        <v>0</v>
      </c>
      <c r="J19" s="27"/>
    </row>
    <row r="20" spans="2:11" ht="47.25" customHeight="1">
      <c r="B20" s="67">
        <v>12023</v>
      </c>
      <c r="C20" s="68" t="s">
        <v>38</v>
      </c>
      <c r="D20" s="68">
        <v>10</v>
      </c>
      <c r="E20" s="68">
        <v>18</v>
      </c>
      <c r="F20" s="47">
        <f t="shared" si="0"/>
        <v>180</v>
      </c>
      <c r="G20" s="48"/>
      <c r="H20" s="47" t="s">
        <v>34</v>
      </c>
      <c r="I20" s="49">
        <f t="shared" si="1"/>
        <v>0</v>
      </c>
      <c r="J20" s="50"/>
      <c r="K20" s="139" t="s">
        <v>110</v>
      </c>
    </row>
    <row r="21" spans="2:11" ht="47.25" customHeight="1">
      <c r="B21" s="67">
        <v>12024</v>
      </c>
      <c r="C21" s="68" t="s">
        <v>39</v>
      </c>
      <c r="D21" s="68">
        <v>10</v>
      </c>
      <c r="E21" s="68">
        <v>6</v>
      </c>
      <c r="F21" s="47">
        <f t="shared" si="0"/>
        <v>60</v>
      </c>
      <c r="G21" s="47"/>
      <c r="H21" s="47" t="s">
        <v>34</v>
      </c>
      <c r="I21" s="49">
        <f t="shared" ref="I21" si="2">E21*G21</f>
        <v>0</v>
      </c>
      <c r="J21" s="50"/>
      <c r="K21" s="140"/>
    </row>
    <row r="22" spans="2:11" ht="47.25" customHeight="1">
      <c r="B22" s="67">
        <v>12142</v>
      </c>
      <c r="C22" s="68" t="s">
        <v>40</v>
      </c>
      <c r="D22" s="68">
        <v>24</v>
      </c>
      <c r="E22" s="68">
        <v>12</v>
      </c>
      <c r="F22" s="47">
        <f t="shared" si="0"/>
        <v>288</v>
      </c>
      <c r="G22" s="48"/>
      <c r="H22" s="47" t="s">
        <v>34</v>
      </c>
      <c r="I22" s="49">
        <f t="shared" ref="I22:I23" si="3">G22*E22</f>
        <v>0</v>
      </c>
      <c r="J22" s="50"/>
      <c r="K22" s="140"/>
    </row>
    <row r="23" spans="2:11" ht="47.25" customHeight="1">
      <c r="B23" s="67">
        <v>12143</v>
      </c>
      <c r="C23" s="68" t="s">
        <v>41</v>
      </c>
      <c r="D23" s="68">
        <v>12</v>
      </c>
      <c r="E23" s="68">
        <v>48</v>
      </c>
      <c r="F23" s="47">
        <f>E23*D23</f>
        <v>576</v>
      </c>
      <c r="G23" s="48"/>
      <c r="H23" s="47" t="s">
        <v>34</v>
      </c>
      <c r="I23" s="49">
        <f t="shared" si="3"/>
        <v>0</v>
      </c>
      <c r="J23" s="50"/>
      <c r="K23" s="140"/>
    </row>
    <row r="24" spans="2:11" ht="47.25" customHeight="1">
      <c r="B24" s="67">
        <v>12145</v>
      </c>
      <c r="C24" s="68" t="s">
        <v>42</v>
      </c>
      <c r="D24" s="68">
        <v>12</v>
      </c>
      <c r="E24" s="68">
        <v>6</v>
      </c>
      <c r="F24" s="47">
        <f t="shared" ref="F24:F28" si="4">D24*E24</f>
        <v>72</v>
      </c>
      <c r="G24" s="47"/>
      <c r="H24" s="47" t="s">
        <v>34</v>
      </c>
      <c r="I24" s="49">
        <f t="shared" ref="I24:I31" si="5">E24*G24</f>
        <v>0</v>
      </c>
      <c r="J24" s="50"/>
      <c r="K24" s="140"/>
    </row>
    <row r="25" spans="2:11" ht="47.25" customHeight="1">
      <c r="B25" s="67">
        <v>12146</v>
      </c>
      <c r="C25" s="68" t="s">
        <v>43</v>
      </c>
      <c r="D25" s="68">
        <v>12</v>
      </c>
      <c r="E25" s="68">
        <v>48</v>
      </c>
      <c r="F25" s="47">
        <f t="shared" si="4"/>
        <v>576</v>
      </c>
      <c r="G25" s="47"/>
      <c r="H25" s="47" t="s">
        <v>34</v>
      </c>
      <c r="I25" s="49">
        <f t="shared" si="5"/>
        <v>0</v>
      </c>
      <c r="J25" s="50"/>
      <c r="K25" s="140"/>
    </row>
    <row r="26" spans="2:11" ht="47.25" customHeight="1">
      <c r="B26" s="67">
        <v>12148</v>
      </c>
      <c r="C26" s="68" t="s">
        <v>44</v>
      </c>
      <c r="D26" s="68">
        <v>12</v>
      </c>
      <c r="E26" s="68">
        <v>24</v>
      </c>
      <c r="F26" s="47">
        <f t="shared" si="4"/>
        <v>288</v>
      </c>
      <c r="G26" s="48"/>
      <c r="H26" s="47" t="s">
        <v>34</v>
      </c>
      <c r="I26" s="49">
        <f t="shared" ref="I26" si="6">G26*E26</f>
        <v>0</v>
      </c>
      <c r="J26" s="50"/>
      <c r="K26" s="140"/>
    </row>
    <row r="27" spans="2:11" ht="47.25" customHeight="1">
      <c r="B27" s="67">
        <v>12211</v>
      </c>
      <c r="C27" s="68" t="s">
        <v>45</v>
      </c>
      <c r="D27" s="68">
        <v>20</v>
      </c>
      <c r="E27" s="68">
        <v>24</v>
      </c>
      <c r="F27" s="47">
        <f t="shared" si="4"/>
        <v>480</v>
      </c>
      <c r="G27" s="47"/>
      <c r="H27" s="47" t="s">
        <v>34</v>
      </c>
      <c r="I27" s="49">
        <f t="shared" si="5"/>
        <v>0</v>
      </c>
      <c r="J27" s="50"/>
      <c r="K27" s="140"/>
    </row>
    <row r="28" spans="2:11" ht="47.25" customHeight="1">
      <c r="B28" s="46">
        <v>12800</v>
      </c>
      <c r="C28" s="47" t="s">
        <v>46</v>
      </c>
      <c r="D28" s="47">
        <v>20</v>
      </c>
      <c r="E28" s="47">
        <v>1008</v>
      </c>
      <c r="F28" s="47">
        <f t="shared" si="4"/>
        <v>20160</v>
      </c>
      <c r="G28" s="47"/>
      <c r="H28" s="47" t="s">
        <v>34</v>
      </c>
      <c r="I28" s="49">
        <f t="shared" si="5"/>
        <v>0</v>
      </c>
      <c r="J28" s="50"/>
      <c r="K28" s="140"/>
    </row>
    <row r="29" spans="2:11" ht="47.25" customHeight="1">
      <c r="B29" s="46">
        <v>12801</v>
      </c>
      <c r="C29" s="47" t="s">
        <v>47</v>
      </c>
      <c r="D29" s="47">
        <v>10</v>
      </c>
      <c r="E29" s="47">
        <v>72</v>
      </c>
      <c r="F29" s="47">
        <f t="shared" ref="F29:F31" si="7">E29*D29</f>
        <v>720</v>
      </c>
      <c r="G29" s="47"/>
      <c r="H29" s="47" t="s">
        <v>34</v>
      </c>
      <c r="I29" s="49">
        <f t="shared" si="5"/>
        <v>0</v>
      </c>
      <c r="J29" s="50"/>
      <c r="K29" s="140"/>
    </row>
    <row r="30" spans="2:11" ht="47.25" customHeight="1">
      <c r="B30" s="46">
        <v>12802</v>
      </c>
      <c r="C30" s="47" t="s">
        <v>48</v>
      </c>
      <c r="D30" s="47">
        <v>10</v>
      </c>
      <c r="E30" s="47">
        <v>54</v>
      </c>
      <c r="F30" s="47">
        <f t="shared" si="7"/>
        <v>540</v>
      </c>
      <c r="G30" s="47"/>
      <c r="H30" s="47" t="s">
        <v>34</v>
      </c>
      <c r="I30" s="49">
        <f t="shared" si="5"/>
        <v>0</v>
      </c>
      <c r="J30" s="50"/>
      <c r="K30" s="140"/>
    </row>
    <row r="31" spans="2:11" ht="47.25" customHeight="1" thickBot="1">
      <c r="B31" s="46">
        <v>12803</v>
      </c>
      <c r="C31" s="47" t="s">
        <v>49</v>
      </c>
      <c r="D31" s="47">
        <v>10</v>
      </c>
      <c r="E31" s="47">
        <v>216</v>
      </c>
      <c r="F31" s="47">
        <f t="shared" si="7"/>
        <v>2160</v>
      </c>
      <c r="G31" s="47"/>
      <c r="H31" s="47" t="s">
        <v>34</v>
      </c>
      <c r="I31" s="47">
        <f t="shared" si="5"/>
        <v>0</v>
      </c>
      <c r="J31" s="50"/>
      <c r="K31" s="141"/>
    </row>
    <row r="32" spans="2:11" ht="23.25">
      <c r="B32" s="23">
        <v>14040</v>
      </c>
      <c r="C32" s="24" t="s">
        <v>50</v>
      </c>
      <c r="D32" s="24">
        <v>18</v>
      </c>
      <c r="E32" s="24">
        <v>444</v>
      </c>
      <c r="F32" s="24">
        <f t="shared" ref="F32" si="8">D32*E32</f>
        <v>7992</v>
      </c>
      <c r="G32" s="25"/>
      <c r="H32" s="24" t="s">
        <v>34</v>
      </c>
      <c r="I32" s="26">
        <f t="shared" ref="I32:I57" si="9">G32*E32</f>
        <v>0</v>
      </c>
      <c r="J32" s="27"/>
    </row>
    <row r="33" spans="2:11" ht="24" thickBot="1">
      <c r="B33" s="23">
        <v>14042</v>
      </c>
      <c r="C33" s="24" t="s">
        <v>51</v>
      </c>
      <c r="D33" s="24">
        <v>18</v>
      </c>
      <c r="E33" s="24">
        <v>168</v>
      </c>
      <c r="F33" s="24">
        <f>E33*D33</f>
        <v>3024</v>
      </c>
      <c r="G33" s="25"/>
      <c r="H33" s="24" t="s">
        <v>34</v>
      </c>
      <c r="I33" s="26">
        <f t="shared" si="9"/>
        <v>0</v>
      </c>
      <c r="J33" s="27"/>
    </row>
    <row r="34" spans="2:11" ht="47.25" customHeight="1">
      <c r="B34" s="67">
        <v>14201</v>
      </c>
      <c r="C34" s="68" t="s">
        <v>52</v>
      </c>
      <c r="D34" s="68">
        <v>40</v>
      </c>
      <c r="E34" s="68">
        <v>96</v>
      </c>
      <c r="F34" s="68">
        <f>E34*D34</f>
        <v>3840</v>
      </c>
      <c r="G34" s="47"/>
      <c r="H34" s="47" t="s">
        <v>34</v>
      </c>
      <c r="I34" s="47">
        <f t="shared" si="9"/>
        <v>0</v>
      </c>
      <c r="J34" s="50"/>
      <c r="K34" s="142" t="s">
        <v>110</v>
      </c>
    </row>
    <row r="35" spans="2:11" ht="47.25" customHeight="1">
      <c r="B35" s="67">
        <v>14202</v>
      </c>
      <c r="C35" s="68" t="s">
        <v>53</v>
      </c>
      <c r="D35" s="68">
        <v>30</v>
      </c>
      <c r="E35" s="68">
        <v>192</v>
      </c>
      <c r="F35" s="68">
        <f t="shared" ref="F35" si="10">E35*D35</f>
        <v>5760</v>
      </c>
      <c r="G35" s="47"/>
      <c r="H35" s="47" t="s">
        <v>34</v>
      </c>
      <c r="I35" s="47">
        <f t="shared" si="9"/>
        <v>0</v>
      </c>
      <c r="J35" s="50"/>
      <c r="K35" s="143"/>
    </row>
    <row r="36" spans="2:11" ht="47.25" customHeight="1">
      <c r="B36" s="67">
        <v>14203</v>
      </c>
      <c r="C36" s="68" t="s">
        <v>54</v>
      </c>
      <c r="D36" s="68">
        <v>20</v>
      </c>
      <c r="E36" s="68">
        <v>48</v>
      </c>
      <c r="F36" s="68">
        <f t="shared" ref="F36:F68" si="11">D36*E36</f>
        <v>960</v>
      </c>
      <c r="G36" s="47"/>
      <c r="H36" s="47" t="s">
        <v>34</v>
      </c>
      <c r="I36" s="47">
        <f t="shared" si="9"/>
        <v>0</v>
      </c>
      <c r="J36" s="50"/>
      <c r="K36" s="143"/>
    </row>
    <row r="37" spans="2:11" ht="47.25" customHeight="1">
      <c r="B37" s="46">
        <v>14208</v>
      </c>
      <c r="C37" s="47" t="s">
        <v>55</v>
      </c>
      <c r="D37" s="47">
        <v>100</v>
      </c>
      <c r="E37" s="47">
        <v>168</v>
      </c>
      <c r="F37" s="47">
        <f t="shared" si="11"/>
        <v>16800</v>
      </c>
      <c r="G37" s="47"/>
      <c r="H37" s="47" t="s">
        <v>34</v>
      </c>
      <c r="I37" s="47">
        <f t="shared" si="9"/>
        <v>0</v>
      </c>
      <c r="J37" s="50"/>
      <c r="K37" s="143"/>
    </row>
    <row r="38" spans="2:11" ht="47.25" customHeight="1">
      <c r="B38" s="46">
        <v>14209</v>
      </c>
      <c r="C38" s="47" t="s">
        <v>56</v>
      </c>
      <c r="D38" s="47">
        <v>50</v>
      </c>
      <c r="E38" s="47">
        <v>144</v>
      </c>
      <c r="F38" s="47">
        <f t="shared" si="11"/>
        <v>7200</v>
      </c>
      <c r="G38" s="47"/>
      <c r="H38" s="47" t="s">
        <v>34</v>
      </c>
      <c r="I38" s="47">
        <f t="shared" si="9"/>
        <v>0</v>
      </c>
      <c r="J38" s="50"/>
      <c r="K38" s="143"/>
    </row>
    <row r="39" spans="2:11" ht="47.25" customHeight="1">
      <c r="B39" s="46">
        <v>14210</v>
      </c>
      <c r="C39" s="47" t="s">
        <v>57</v>
      </c>
      <c r="D39" s="47">
        <v>50</v>
      </c>
      <c r="E39" s="47">
        <v>168</v>
      </c>
      <c r="F39" s="47">
        <f t="shared" si="11"/>
        <v>8400</v>
      </c>
      <c r="G39" s="47"/>
      <c r="H39" s="47" t="s">
        <v>34</v>
      </c>
      <c r="I39" s="47">
        <f t="shared" si="9"/>
        <v>0</v>
      </c>
      <c r="J39" s="50"/>
      <c r="K39" s="143"/>
    </row>
    <row r="40" spans="2:11" ht="47.25" customHeight="1">
      <c r="B40" s="46">
        <v>14211</v>
      </c>
      <c r="C40" s="47" t="s">
        <v>58</v>
      </c>
      <c r="D40" s="47">
        <v>200</v>
      </c>
      <c r="E40" s="47">
        <v>24</v>
      </c>
      <c r="F40" s="47">
        <f t="shared" si="11"/>
        <v>4800</v>
      </c>
      <c r="G40" s="47"/>
      <c r="H40" s="47" t="s">
        <v>34</v>
      </c>
      <c r="I40" s="47">
        <f t="shared" si="9"/>
        <v>0</v>
      </c>
      <c r="J40" s="50"/>
      <c r="K40" s="143"/>
    </row>
    <row r="41" spans="2:11" ht="47.25" customHeight="1" thickBot="1">
      <c r="B41" s="67">
        <v>14213</v>
      </c>
      <c r="C41" s="68" t="s">
        <v>59</v>
      </c>
      <c r="D41" s="68">
        <v>250</v>
      </c>
      <c r="E41" s="68">
        <v>6</v>
      </c>
      <c r="F41" s="68">
        <f t="shared" si="11"/>
        <v>1500</v>
      </c>
      <c r="G41" s="47"/>
      <c r="H41" s="47" t="s">
        <v>34</v>
      </c>
      <c r="I41" s="47">
        <f t="shared" si="9"/>
        <v>0</v>
      </c>
      <c r="J41" s="50"/>
      <c r="K41" s="144"/>
    </row>
    <row r="42" spans="2:11" ht="47.25" customHeight="1">
      <c r="B42" s="64">
        <v>14579</v>
      </c>
      <c r="C42" s="65" t="s">
        <v>60</v>
      </c>
      <c r="D42" s="65">
        <v>20</v>
      </c>
      <c r="E42" s="65">
        <v>396</v>
      </c>
      <c r="F42" s="65">
        <f t="shared" si="11"/>
        <v>7920</v>
      </c>
      <c r="G42" s="65"/>
      <c r="H42" s="65" t="s">
        <v>34</v>
      </c>
      <c r="I42" s="65">
        <f t="shared" si="9"/>
        <v>0</v>
      </c>
      <c r="J42" s="66"/>
      <c r="K42" s="58"/>
    </row>
    <row r="43" spans="2:11" ht="47.25" customHeight="1">
      <c r="B43" s="64">
        <v>14580</v>
      </c>
      <c r="C43" s="65" t="s">
        <v>61</v>
      </c>
      <c r="D43" s="65">
        <v>20</v>
      </c>
      <c r="E43" s="65">
        <v>198</v>
      </c>
      <c r="F43" s="65">
        <f t="shared" si="11"/>
        <v>3960</v>
      </c>
      <c r="G43" s="65"/>
      <c r="H43" s="65" t="s">
        <v>34</v>
      </c>
      <c r="I43" s="65">
        <f t="shared" si="9"/>
        <v>0</v>
      </c>
      <c r="J43" s="66"/>
      <c r="K43" s="58"/>
    </row>
    <row r="44" spans="2:11" ht="47.25" customHeight="1">
      <c r="B44" s="64">
        <v>15058</v>
      </c>
      <c r="C44" s="65" t="s">
        <v>62</v>
      </c>
      <c r="D44" s="65">
        <v>50</v>
      </c>
      <c r="E44" s="65">
        <v>2712</v>
      </c>
      <c r="F44" s="65">
        <f t="shared" si="11"/>
        <v>135600</v>
      </c>
      <c r="G44" s="65"/>
      <c r="H44" s="65" t="s">
        <v>34</v>
      </c>
      <c r="I44" s="65">
        <f t="shared" si="9"/>
        <v>0</v>
      </c>
      <c r="J44" s="66"/>
      <c r="K44" s="58"/>
    </row>
    <row r="45" spans="2:11" ht="47.25" customHeight="1">
      <c r="B45" s="64">
        <v>15061</v>
      </c>
      <c r="C45" s="65" t="s">
        <v>63</v>
      </c>
      <c r="D45" s="65">
        <v>25</v>
      </c>
      <c r="E45" s="65">
        <v>408</v>
      </c>
      <c r="F45" s="65">
        <f t="shared" si="11"/>
        <v>10200</v>
      </c>
      <c r="G45" s="65"/>
      <c r="H45" s="65" t="s">
        <v>34</v>
      </c>
      <c r="I45" s="65">
        <f t="shared" ref="I45" si="12">E45*G45</f>
        <v>0</v>
      </c>
      <c r="J45" s="66"/>
      <c r="K45" s="58"/>
    </row>
    <row r="46" spans="2:11" ht="47.25" customHeight="1">
      <c r="B46" s="64">
        <v>15158</v>
      </c>
      <c r="C46" s="65" t="s">
        <v>64</v>
      </c>
      <c r="D46" s="65">
        <v>50</v>
      </c>
      <c r="E46" s="65">
        <v>72</v>
      </c>
      <c r="F46" s="65">
        <f t="shared" si="11"/>
        <v>3600</v>
      </c>
      <c r="G46" s="65"/>
      <c r="H46" s="65" t="s">
        <v>34</v>
      </c>
      <c r="I46" s="65">
        <f t="shared" si="9"/>
        <v>0</v>
      </c>
      <c r="J46" s="66"/>
      <c r="K46" s="58"/>
    </row>
    <row r="47" spans="2:11" ht="47.25" customHeight="1">
      <c r="B47" s="64">
        <v>94211</v>
      </c>
      <c r="C47" s="65" t="s">
        <v>65</v>
      </c>
      <c r="D47" s="65">
        <v>40</v>
      </c>
      <c r="E47" s="65">
        <v>672</v>
      </c>
      <c r="F47" s="65">
        <f t="shared" si="11"/>
        <v>26880</v>
      </c>
      <c r="G47" s="65"/>
      <c r="H47" s="65" t="s">
        <v>34</v>
      </c>
      <c r="I47" s="65">
        <f t="shared" si="9"/>
        <v>0</v>
      </c>
      <c r="J47" s="66"/>
      <c r="K47" s="58"/>
    </row>
    <row r="48" spans="2:11" ht="47.25" customHeight="1">
      <c r="B48" s="64">
        <v>94212</v>
      </c>
      <c r="C48" s="65" t="s">
        <v>66</v>
      </c>
      <c r="D48" s="65">
        <v>30</v>
      </c>
      <c r="E48" s="65">
        <v>630</v>
      </c>
      <c r="F48" s="65">
        <f t="shared" si="11"/>
        <v>18900</v>
      </c>
      <c r="G48" s="65"/>
      <c r="H48" s="65" t="s">
        <v>34</v>
      </c>
      <c r="I48" s="65">
        <f t="shared" si="9"/>
        <v>0</v>
      </c>
      <c r="J48" s="66"/>
      <c r="K48" s="58"/>
    </row>
    <row r="49" spans="2:11" ht="47.25" customHeight="1" thickBot="1">
      <c r="B49" s="64">
        <v>94213</v>
      </c>
      <c r="C49" s="65" t="s">
        <v>67</v>
      </c>
      <c r="D49" s="65">
        <v>25</v>
      </c>
      <c r="E49" s="65">
        <v>630</v>
      </c>
      <c r="F49" s="65">
        <f t="shared" si="11"/>
        <v>15750</v>
      </c>
      <c r="G49" s="65"/>
      <c r="H49" s="65" t="s">
        <v>34</v>
      </c>
      <c r="I49" s="65">
        <f t="shared" si="9"/>
        <v>0</v>
      </c>
      <c r="J49" s="66"/>
      <c r="K49" s="58"/>
    </row>
    <row r="50" spans="2:11" ht="47.25" customHeight="1">
      <c r="B50" s="67">
        <v>94221</v>
      </c>
      <c r="C50" s="68" t="s">
        <v>68</v>
      </c>
      <c r="D50" s="68">
        <v>25</v>
      </c>
      <c r="E50" s="68">
        <v>108</v>
      </c>
      <c r="F50" s="68">
        <f>E50*D50</f>
        <v>2700</v>
      </c>
      <c r="G50" s="47"/>
      <c r="H50" s="47" t="s">
        <v>34</v>
      </c>
      <c r="I50" s="47">
        <f>G50*E50</f>
        <v>0</v>
      </c>
      <c r="J50" s="50"/>
      <c r="K50" s="139" t="s">
        <v>110</v>
      </c>
    </row>
    <row r="51" spans="2:11" ht="47.25" customHeight="1">
      <c r="B51" s="67">
        <v>94222</v>
      </c>
      <c r="C51" s="68" t="s">
        <v>69</v>
      </c>
      <c r="D51" s="68">
        <v>25</v>
      </c>
      <c r="E51" s="68">
        <v>108</v>
      </c>
      <c r="F51" s="68">
        <f t="shared" si="11"/>
        <v>2700</v>
      </c>
      <c r="G51" s="47"/>
      <c r="H51" s="47" t="s">
        <v>34</v>
      </c>
      <c r="I51" s="47">
        <f t="shared" si="9"/>
        <v>0</v>
      </c>
      <c r="J51" s="50"/>
      <c r="K51" s="140"/>
    </row>
    <row r="52" spans="2:11" ht="47.25" customHeight="1">
      <c r="B52" s="67">
        <v>94223</v>
      </c>
      <c r="C52" s="68" t="s">
        <v>70</v>
      </c>
      <c r="D52" s="68">
        <v>10</v>
      </c>
      <c r="E52" s="68">
        <v>12</v>
      </c>
      <c r="F52" s="68">
        <f t="shared" si="11"/>
        <v>120</v>
      </c>
      <c r="G52" s="47"/>
      <c r="H52" s="47" t="s">
        <v>34</v>
      </c>
      <c r="I52" s="47">
        <f t="shared" si="9"/>
        <v>0</v>
      </c>
      <c r="J52" s="50"/>
      <c r="K52" s="140"/>
    </row>
    <row r="53" spans="2:11" ht="47.25" customHeight="1">
      <c r="B53" s="67">
        <v>94231</v>
      </c>
      <c r="C53" s="68" t="s">
        <v>71</v>
      </c>
      <c r="D53" s="68">
        <v>10</v>
      </c>
      <c r="E53" s="68">
        <v>1440</v>
      </c>
      <c r="F53" s="68">
        <f t="shared" si="11"/>
        <v>14400</v>
      </c>
      <c r="G53" s="47"/>
      <c r="H53" s="47" t="s">
        <v>34</v>
      </c>
      <c r="I53" s="47">
        <f t="shared" si="9"/>
        <v>0</v>
      </c>
      <c r="J53" s="50"/>
      <c r="K53" s="140"/>
    </row>
    <row r="54" spans="2:11" ht="47.25" customHeight="1">
      <c r="B54" s="67">
        <v>94232</v>
      </c>
      <c r="C54" s="68" t="s">
        <v>72</v>
      </c>
      <c r="D54" s="68">
        <v>10</v>
      </c>
      <c r="E54" s="68">
        <v>720</v>
      </c>
      <c r="F54" s="68">
        <f t="shared" si="11"/>
        <v>7200</v>
      </c>
      <c r="G54" s="47"/>
      <c r="H54" s="47" t="s">
        <v>34</v>
      </c>
      <c r="I54" s="47">
        <f t="shared" si="9"/>
        <v>0</v>
      </c>
      <c r="J54" s="50"/>
      <c r="K54" s="140"/>
    </row>
    <row r="55" spans="2:11" ht="47.25" customHeight="1">
      <c r="B55" s="67">
        <v>94233</v>
      </c>
      <c r="C55" s="68" t="s">
        <v>73</v>
      </c>
      <c r="D55" s="68">
        <v>10</v>
      </c>
      <c r="E55" s="68">
        <v>350</v>
      </c>
      <c r="F55" s="68">
        <f t="shared" si="11"/>
        <v>3500</v>
      </c>
      <c r="G55" s="47"/>
      <c r="H55" s="47" t="s">
        <v>34</v>
      </c>
      <c r="I55" s="47">
        <f t="shared" si="9"/>
        <v>0</v>
      </c>
      <c r="J55" s="50"/>
      <c r="K55" s="140"/>
    </row>
    <row r="56" spans="2:11" ht="47.25" customHeight="1">
      <c r="B56" s="67">
        <v>94234</v>
      </c>
      <c r="C56" s="68" t="s">
        <v>74</v>
      </c>
      <c r="D56" s="68">
        <v>10</v>
      </c>
      <c r="E56" s="68">
        <v>120</v>
      </c>
      <c r="F56" s="68">
        <f t="shared" si="11"/>
        <v>1200</v>
      </c>
      <c r="G56" s="47"/>
      <c r="H56" s="47" t="s">
        <v>34</v>
      </c>
      <c r="I56" s="47">
        <f t="shared" si="9"/>
        <v>0</v>
      </c>
      <c r="J56" s="50"/>
      <c r="K56" s="140"/>
    </row>
    <row r="57" spans="2:11" ht="47.25" customHeight="1" thickBot="1">
      <c r="B57" s="67">
        <v>94237</v>
      </c>
      <c r="C57" s="68" t="s">
        <v>75</v>
      </c>
      <c r="D57" s="68">
        <v>5</v>
      </c>
      <c r="E57" s="68">
        <v>75</v>
      </c>
      <c r="F57" s="68">
        <f t="shared" si="11"/>
        <v>375</v>
      </c>
      <c r="G57" s="47"/>
      <c r="H57" s="47" t="s">
        <v>34</v>
      </c>
      <c r="I57" s="47">
        <f t="shared" si="9"/>
        <v>0</v>
      </c>
      <c r="J57" s="50"/>
      <c r="K57" s="141"/>
    </row>
    <row r="58" spans="2:11" ht="47.25" customHeight="1">
      <c r="B58" s="64">
        <v>94301</v>
      </c>
      <c r="C58" s="65" t="s">
        <v>76</v>
      </c>
      <c r="D58" s="65">
        <v>50</v>
      </c>
      <c r="E58" s="65">
        <v>648</v>
      </c>
      <c r="F58" s="65">
        <f t="shared" si="11"/>
        <v>32400</v>
      </c>
      <c r="G58" s="65"/>
      <c r="H58" s="65" t="s">
        <v>34</v>
      </c>
      <c r="I58" s="65">
        <f t="shared" ref="I58:I61" si="13">E58*G58</f>
        <v>0</v>
      </c>
      <c r="J58" s="66"/>
      <c r="K58" s="57"/>
    </row>
    <row r="59" spans="2:11" ht="47.25" customHeight="1">
      <c r="B59" s="64">
        <v>94302</v>
      </c>
      <c r="C59" s="65" t="s">
        <v>77</v>
      </c>
      <c r="D59" s="65">
        <v>25</v>
      </c>
      <c r="E59" s="65">
        <v>960</v>
      </c>
      <c r="F59" s="65">
        <f t="shared" si="11"/>
        <v>24000</v>
      </c>
      <c r="G59" s="65"/>
      <c r="H59" s="65" t="s">
        <v>34</v>
      </c>
      <c r="I59" s="65">
        <f t="shared" si="13"/>
        <v>0</v>
      </c>
      <c r="J59" s="66"/>
      <c r="K59" s="57"/>
    </row>
    <row r="60" spans="2:11" ht="47.25" customHeight="1">
      <c r="B60" s="64">
        <v>94303</v>
      </c>
      <c r="C60" s="65" t="s">
        <v>78</v>
      </c>
      <c r="D60" s="65">
        <v>25</v>
      </c>
      <c r="E60" s="65">
        <v>630</v>
      </c>
      <c r="F60" s="65">
        <f>D60*E60</f>
        <v>15750</v>
      </c>
      <c r="G60" s="65"/>
      <c r="H60" s="65" t="s">
        <v>34</v>
      </c>
      <c r="I60" s="65">
        <f>G60*E60</f>
        <v>0</v>
      </c>
      <c r="J60" s="66"/>
      <c r="K60" s="57"/>
    </row>
    <row r="61" spans="2:11" ht="47.25" customHeight="1">
      <c r="B61" s="64">
        <v>94304</v>
      </c>
      <c r="C61" s="65" t="s">
        <v>79</v>
      </c>
      <c r="D61" s="65">
        <v>25</v>
      </c>
      <c r="E61" s="65">
        <v>240</v>
      </c>
      <c r="F61" s="65">
        <f t="shared" si="11"/>
        <v>6000</v>
      </c>
      <c r="G61" s="65"/>
      <c r="H61" s="65" t="s">
        <v>34</v>
      </c>
      <c r="I61" s="65">
        <f t="shared" si="13"/>
        <v>0</v>
      </c>
      <c r="J61" s="66"/>
      <c r="K61" s="57"/>
    </row>
    <row r="62" spans="2:11" ht="47.25" customHeight="1">
      <c r="B62" s="64">
        <v>94340</v>
      </c>
      <c r="C62" s="65" t="s">
        <v>80</v>
      </c>
      <c r="D62" s="65">
        <v>18</v>
      </c>
      <c r="E62" s="65">
        <v>204</v>
      </c>
      <c r="F62" s="65">
        <f t="shared" si="11"/>
        <v>3672</v>
      </c>
      <c r="G62" s="65"/>
      <c r="H62" s="65" t="s">
        <v>34</v>
      </c>
      <c r="I62" s="65">
        <f t="shared" ref="I62:I83" si="14">G62*E62</f>
        <v>0</v>
      </c>
      <c r="J62" s="66"/>
      <c r="K62" s="57"/>
    </row>
    <row r="63" spans="2:11" ht="47.25" customHeight="1">
      <c r="B63" s="64">
        <v>94341</v>
      </c>
      <c r="C63" s="65" t="s">
        <v>81</v>
      </c>
      <c r="D63" s="65">
        <v>18</v>
      </c>
      <c r="E63" s="65">
        <v>444</v>
      </c>
      <c r="F63" s="65">
        <f t="shared" si="11"/>
        <v>7992</v>
      </c>
      <c r="G63" s="65"/>
      <c r="H63" s="65" t="s">
        <v>34</v>
      </c>
      <c r="I63" s="65">
        <f t="shared" si="14"/>
        <v>0</v>
      </c>
      <c r="J63" s="66"/>
      <c r="K63" s="57"/>
    </row>
    <row r="64" spans="2:11" ht="47.25" customHeight="1">
      <c r="B64" s="64">
        <v>94342</v>
      </c>
      <c r="C64" s="65" t="s">
        <v>82</v>
      </c>
      <c r="D64" s="65">
        <v>18</v>
      </c>
      <c r="E64" s="65">
        <v>300</v>
      </c>
      <c r="F64" s="65">
        <f t="shared" si="11"/>
        <v>5400</v>
      </c>
      <c r="G64" s="65"/>
      <c r="H64" s="65" t="s">
        <v>34</v>
      </c>
      <c r="I64" s="65">
        <f t="shared" si="14"/>
        <v>0</v>
      </c>
      <c r="J64" s="66"/>
      <c r="K64" s="57"/>
    </row>
    <row r="65" spans="2:11" ht="47.25" customHeight="1">
      <c r="B65" s="64">
        <v>97030</v>
      </c>
      <c r="C65" s="65" t="s">
        <v>83</v>
      </c>
      <c r="D65" s="65">
        <v>20</v>
      </c>
      <c r="E65" s="65">
        <v>348</v>
      </c>
      <c r="F65" s="65">
        <f t="shared" si="11"/>
        <v>6960</v>
      </c>
      <c r="G65" s="65"/>
      <c r="H65" s="65" t="s">
        <v>34</v>
      </c>
      <c r="I65" s="65">
        <f t="shared" si="14"/>
        <v>0</v>
      </c>
      <c r="J65" s="66"/>
      <c r="K65" s="57"/>
    </row>
    <row r="66" spans="2:11" ht="47.25" customHeight="1">
      <c r="B66" s="64">
        <v>97031</v>
      </c>
      <c r="C66" s="65" t="s">
        <v>84</v>
      </c>
      <c r="D66" s="65">
        <v>20</v>
      </c>
      <c r="E66" s="65">
        <v>3828</v>
      </c>
      <c r="F66" s="65">
        <f t="shared" si="11"/>
        <v>76560</v>
      </c>
      <c r="G66" s="65"/>
      <c r="H66" s="65" t="s">
        <v>34</v>
      </c>
      <c r="I66" s="65">
        <f t="shared" si="14"/>
        <v>0</v>
      </c>
      <c r="J66" s="66"/>
      <c r="K66" s="57"/>
    </row>
    <row r="67" spans="2:11" ht="47.25" customHeight="1">
      <c r="B67" s="64">
        <v>97032</v>
      </c>
      <c r="C67" s="65" t="s">
        <v>85</v>
      </c>
      <c r="D67" s="65">
        <v>20</v>
      </c>
      <c r="E67" s="65">
        <v>84</v>
      </c>
      <c r="F67" s="65">
        <f t="shared" si="11"/>
        <v>1680</v>
      </c>
      <c r="G67" s="65"/>
      <c r="H67" s="65" t="s">
        <v>34</v>
      </c>
      <c r="I67" s="65">
        <f t="shared" si="14"/>
        <v>0</v>
      </c>
      <c r="J67" s="66"/>
      <c r="K67" s="57"/>
    </row>
    <row r="68" spans="2:11" ht="47.25" customHeight="1">
      <c r="B68" s="64">
        <v>97038</v>
      </c>
      <c r="C68" s="65" t="s">
        <v>86</v>
      </c>
      <c r="D68" s="65">
        <v>120</v>
      </c>
      <c r="E68" s="65">
        <v>91</v>
      </c>
      <c r="F68" s="65">
        <f t="shared" si="11"/>
        <v>10920</v>
      </c>
      <c r="G68" s="65"/>
      <c r="H68" s="65" t="s">
        <v>34</v>
      </c>
      <c r="I68" s="65">
        <f t="shared" si="14"/>
        <v>0</v>
      </c>
      <c r="J68" s="66"/>
      <c r="K68" s="57"/>
    </row>
    <row r="69" spans="2:11" ht="47.25" customHeight="1">
      <c r="B69" s="64">
        <v>97039</v>
      </c>
      <c r="C69" s="65" t="s">
        <v>87</v>
      </c>
      <c r="D69" s="65">
        <v>120</v>
      </c>
      <c r="E69" s="65">
        <v>324</v>
      </c>
      <c r="F69" s="65">
        <f>E69*D69</f>
        <v>38880</v>
      </c>
      <c r="G69" s="65"/>
      <c r="H69" s="65" t="s">
        <v>34</v>
      </c>
      <c r="I69" s="65">
        <f t="shared" si="14"/>
        <v>0</v>
      </c>
      <c r="J69" s="66"/>
      <c r="K69" s="57"/>
    </row>
    <row r="70" spans="2:11" ht="47.25" customHeight="1">
      <c r="B70" s="64">
        <v>97382</v>
      </c>
      <c r="C70" s="65" t="s">
        <v>88</v>
      </c>
      <c r="D70" s="65">
        <v>18</v>
      </c>
      <c r="E70" s="65">
        <v>132</v>
      </c>
      <c r="F70" s="65">
        <f>E70*D70</f>
        <v>2376</v>
      </c>
      <c r="G70" s="65"/>
      <c r="H70" s="65" t="s">
        <v>34</v>
      </c>
      <c r="I70" s="65">
        <f>G70*E70</f>
        <v>0</v>
      </c>
      <c r="J70" s="66"/>
      <c r="K70" s="57"/>
    </row>
    <row r="71" spans="2:11" ht="47.25" customHeight="1" thickBot="1">
      <c r="B71" s="64">
        <v>97383</v>
      </c>
      <c r="C71" s="65" t="s">
        <v>89</v>
      </c>
      <c r="D71" s="65">
        <v>18</v>
      </c>
      <c r="E71" s="65">
        <v>12</v>
      </c>
      <c r="F71" s="65">
        <f t="shared" ref="F71" si="15">D71*E71</f>
        <v>216</v>
      </c>
      <c r="G71" s="65"/>
      <c r="H71" s="65" t="s">
        <v>34</v>
      </c>
      <c r="I71" s="65">
        <f t="shared" ref="I71" si="16">G71*E71</f>
        <v>0</v>
      </c>
      <c r="J71" s="66"/>
      <c r="K71" s="57"/>
    </row>
    <row r="72" spans="2:11" ht="47.25" customHeight="1">
      <c r="B72" s="46">
        <v>97935</v>
      </c>
      <c r="C72" s="47" t="s">
        <v>90</v>
      </c>
      <c r="D72" s="47">
        <v>30</v>
      </c>
      <c r="E72" s="47">
        <v>264</v>
      </c>
      <c r="F72" s="47">
        <f>E72*D72</f>
        <v>7920</v>
      </c>
      <c r="G72" s="47"/>
      <c r="H72" s="47" t="s">
        <v>34</v>
      </c>
      <c r="I72" s="47">
        <f t="shared" si="14"/>
        <v>0</v>
      </c>
      <c r="J72" s="50" t="s">
        <v>4</v>
      </c>
      <c r="K72" s="139" t="s">
        <v>110</v>
      </c>
    </row>
    <row r="73" spans="2:11" ht="47.25" customHeight="1">
      <c r="B73" s="46">
        <v>97936</v>
      </c>
      <c r="C73" s="47" t="s">
        <v>91</v>
      </c>
      <c r="D73" s="47">
        <v>25</v>
      </c>
      <c r="E73" s="47">
        <v>558</v>
      </c>
      <c r="F73" s="47">
        <f t="shared" ref="F73:F74" si="17">E73*D73</f>
        <v>13950</v>
      </c>
      <c r="G73" s="47"/>
      <c r="H73" s="47" t="s">
        <v>34</v>
      </c>
      <c r="I73" s="47">
        <f t="shared" si="14"/>
        <v>0</v>
      </c>
      <c r="J73" s="50"/>
      <c r="K73" s="140"/>
    </row>
    <row r="74" spans="2:11" ht="47.25" customHeight="1" thickBot="1">
      <c r="B74" s="46">
        <v>97937</v>
      </c>
      <c r="C74" s="47" t="s">
        <v>92</v>
      </c>
      <c r="D74" s="47">
        <v>15</v>
      </c>
      <c r="E74" s="47">
        <v>90</v>
      </c>
      <c r="F74" s="47">
        <f t="shared" si="17"/>
        <v>1350</v>
      </c>
      <c r="G74" s="47"/>
      <c r="H74" s="47" t="s">
        <v>34</v>
      </c>
      <c r="I74" s="47">
        <f t="shared" si="14"/>
        <v>0</v>
      </c>
      <c r="J74" s="50"/>
      <c r="K74" s="141"/>
    </row>
    <row r="75" spans="2:11" ht="23.25">
      <c r="B75" s="28">
        <v>98816</v>
      </c>
      <c r="C75" s="29" t="s">
        <v>93</v>
      </c>
      <c r="D75" s="29">
        <v>96</v>
      </c>
      <c r="E75" s="29">
        <v>224</v>
      </c>
      <c r="F75" s="29">
        <f>D75*E75</f>
        <v>21504</v>
      </c>
      <c r="G75" s="29"/>
      <c r="H75" s="29" t="s">
        <v>34</v>
      </c>
      <c r="I75" s="30">
        <f t="shared" si="14"/>
        <v>0</v>
      </c>
      <c r="J75" s="31"/>
    </row>
    <row r="76" spans="2:11" ht="24" thickBot="1">
      <c r="B76" s="32">
        <v>98912</v>
      </c>
      <c r="C76" s="33" t="s">
        <v>94</v>
      </c>
      <c r="D76" s="34">
        <v>50</v>
      </c>
      <c r="E76" s="34">
        <v>1392</v>
      </c>
      <c r="F76" s="33">
        <f t="shared" ref="F76:F83" si="18">D76*E76</f>
        <v>69600</v>
      </c>
      <c r="G76" s="35"/>
      <c r="H76" s="33" t="s">
        <v>34</v>
      </c>
      <c r="I76" s="36">
        <f t="shared" si="14"/>
        <v>0</v>
      </c>
      <c r="J76" s="37"/>
    </row>
    <row r="77" spans="2:11" ht="46.9" customHeight="1">
      <c r="B77" s="67">
        <v>12061</v>
      </c>
      <c r="C77" s="69" t="s">
        <v>95</v>
      </c>
      <c r="D77" s="70">
        <v>5</v>
      </c>
      <c r="E77" s="70">
        <v>50</v>
      </c>
      <c r="F77" s="69">
        <f t="shared" si="18"/>
        <v>250</v>
      </c>
      <c r="G77" s="52"/>
      <c r="H77" s="51" t="s">
        <v>34</v>
      </c>
      <c r="I77" s="53">
        <f t="shared" si="14"/>
        <v>0</v>
      </c>
      <c r="J77" s="59"/>
      <c r="K77" s="142" t="s">
        <v>110</v>
      </c>
    </row>
    <row r="78" spans="2:11" ht="46.9" customHeight="1">
      <c r="B78" s="67">
        <v>12063</v>
      </c>
      <c r="C78" s="69" t="s">
        <v>96</v>
      </c>
      <c r="D78" s="70">
        <v>5</v>
      </c>
      <c r="E78" s="70">
        <v>10</v>
      </c>
      <c r="F78" s="69">
        <f t="shared" si="18"/>
        <v>50</v>
      </c>
      <c r="G78" s="48"/>
      <c r="H78" s="51" t="s">
        <v>34</v>
      </c>
      <c r="I78" s="49">
        <f t="shared" si="14"/>
        <v>0</v>
      </c>
      <c r="J78" s="59"/>
      <c r="K78" s="143"/>
    </row>
    <row r="79" spans="2:11" ht="46.9" customHeight="1">
      <c r="B79" s="67">
        <v>12069</v>
      </c>
      <c r="C79" s="69" t="s">
        <v>97</v>
      </c>
      <c r="D79" s="70">
        <v>5</v>
      </c>
      <c r="E79" s="70">
        <v>9</v>
      </c>
      <c r="F79" s="69">
        <f t="shared" si="18"/>
        <v>45</v>
      </c>
      <c r="G79" s="48"/>
      <c r="H79" s="51" t="s">
        <v>34</v>
      </c>
      <c r="I79" s="49">
        <f t="shared" si="14"/>
        <v>0</v>
      </c>
      <c r="J79" s="59"/>
      <c r="K79" s="143"/>
    </row>
    <row r="80" spans="2:11" ht="46.9" customHeight="1">
      <c r="B80" s="67">
        <v>12805</v>
      </c>
      <c r="C80" s="69" t="s">
        <v>98</v>
      </c>
      <c r="D80" s="70">
        <v>10</v>
      </c>
      <c r="E80" s="70">
        <v>50</v>
      </c>
      <c r="F80" s="69">
        <f t="shared" si="18"/>
        <v>500</v>
      </c>
      <c r="G80" s="48"/>
      <c r="H80" s="51" t="s">
        <v>34</v>
      </c>
      <c r="I80" s="49">
        <f t="shared" si="14"/>
        <v>0</v>
      </c>
      <c r="J80" s="59"/>
      <c r="K80" s="143"/>
    </row>
    <row r="81" spans="2:11" ht="46.9" customHeight="1">
      <c r="B81" s="67">
        <v>12830</v>
      </c>
      <c r="C81" s="69" t="s">
        <v>99</v>
      </c>
      <c r="D81" s="70">
        <v>10</v>
      </c>
      <c r="E81" s="70">
        <v>20</v>
      </c>
      <c r="F81" s="69">
        <f t="shared" si="18"/>
        <v>200</v>
      </c>
      <c r="G81" s="48"/>
      <c r="H81" s="51" t="s">
        <v>34</v>
      </c>
      <c r="I81" s="49">
        <f t="shared" si="14"/>
        <v>0</v>
      </c>
      <c r="J81" s="59"/>
      <c r="K81" s="143"/>
    </row>
    <row r="82" spans="2:11" ht="46.9" customHeight="1">
      <c r="B82" s="67">
        <v>12832</v>
      </c>
      <c r="C82" s="69" t="s">
        <v>100</v>
      </c>
      <c r="D82" s="70">
        <v>10</v>
      </c>
      <c r="E82" s="70">
        <v>5</v>
      </c>
      <c r="F82" s="69">
        <f t="shared" si="18"/>
        <v>50</v>
      </c>
      <c r="G82" s="48"/>
      <c r="H82" s="51" t="s">
        <v>34</v>
      </c>
      <c r="I82" s="49">
        <f t="shared" si="14"/>
        <v>0</v>
      </c>
      <c r="J82" s="59"/>
      <c r="K82" s="143"/>
    </row>
    <row r="83" spans="2:11" ht="46.9" customHeight="1" thickBot="1">
      <c r="B83" s="71">
        <v>97936</v>
      </c>
      <c r="C83" s="72" t="s">
        <v>91</v>
      </c>
      <c r="D83" s="73">
        <v>25</v>
      </c>
      <c r="E83" s="73">
        <v>500</v>
      </c>
      <c r="F83" s="72">
        <f t="shared" si="18"/>
        <v>12500</v>
      </c>
      <c r="G83" s="55"/>
      <c r="H83" s="54" t="s">
        <v>34</v>
      </c>
      <c r="I83" s="56">
        <f t="shared" si="14"/>
        <v>0</v>
      </c>
      <c r="J83" s="59"/>
      <c r="K83" s="144"/>
    </row>
    <row r="84" spans="2:11" ht="23.25">
      <c r="B84" s="121" t="s">
        <v>101</v>
      </c>
      <c r="C84" s="122"/>
      <c r="D84" s="122"/>
      <c r="E84" s="122"/>
      <c r="F84" s="122"/>
      <c r="G84" s="122"/>
      <c r="H84" s="122"/>
      <c r="I84" s="38">
        <f>SUM(I16:I83)</f>
        <v>0</v>
      </c>
      <c r="J84" s="60"/>
    </row>
    <row r="85" spans="2:11" ht="19.5">
      <c r="B85" s="100" t="s">
        <v>102</v>
      </c>
      <c r="C85" s="101"/>
      <c r="D85" s="102"/>
      <c r="E85" s="103" t="s">
        <v>103</v>
      </c>
      <c r="F85" s="101"/>
      <c r="G85" s="101"/>
      <c r="H85" s="101"/>
      <c r="I85" s="101"/>
      <c r="J85" s="104"/>
    </row>
    <row r="86" spans="2:11" ht="19.5">
      <c r="B86" s="123" t="s">
        <v>104</v>
      </c>
      <c r="C86" s="124"/>
      <c r="D86" s="125"/>
      <c r="E86" s="126" t="s">
        <v>6</v>
      </c>
      <c r="F86" s="124"/>
      <c r="G86" s="124"/>
      <c r="H86" s="124"/>
      <c r="I86" s="124"/>
      <c r="J86" s="127"/>
    </row>
    <row r="87" spans="2:11" ht="19.5">
      <c r="B87" s="128" t="s">
        <v>105</v>
      </c>
      <c r="C87" s="129"/>
      <c r="D87" s="130"/>
      <c r="E87" s="134" t="s">
        <v>106</v>
      </c>
      <c r="F87" s="134"/>
      <c r="G87" s="134"/>
      <c r="H87" s="134"/>
      <c r="I87" s="134"/>
      <c r="J87" s="135"/>
    </row>
    <row r="88" spans="2:11" ht="19.5">
      <c r="B88" s="131"/>
      <c r="C88" s="132"/>
      <c r="D88" s="133"/>
      <c r="E88" s="136" t="s">
        <v>107</v>
      </c>
      <c r="F88" s="137"/>
      <c r="G88" s="137"/>
      <c r="H88" s="137"/>
      <c r="I88" s="137"/>
      <c r="J88" s="138"/>
    </row>
    <row r="89" spans="2:11" ht="19.5">
      <c r="B89" s="39"/>
      <c r="C89" s="61"/>
      <c r="D89" s="61"/>
      <c r="E89" s="62"/>
      <c r="F89" s="61"/>
      <c r="G89" s="63"/>
      <c r="H89" s="63"/>
      <c r="I89" s="40"/>
      <c r="J89" s="41"/>
    </row>
    <row r="90" spans="2:11" ht="19.5">
      <c r="B90" s="39"/>
      <c r="C90" s="61"/>
      <c r="D90" s="61"/>
      <c r="E90" s="62"/>
      <c r="F90" s="61"/>
      <c r="G90" s="63"/>
      <c r="H90" s="63"/>
      <c r="I90" s="145" t="s">
        <v>108</v>
      </c>
      <c r="J90" s="146"/>
    </row>
    <row r="91" spans="2:11" ht="43.5" customHeight="1" thickBot="1">
      <c r="B91" s="42"/>
      <c r="C91" s="43"/>
      <c r="D91" s="44"/>
      <c r="E91" s="44"/>
      <c r="F91" s="45"/>
      <c r="G91" s="45"/>
      <c r="H91" s="44"/>
      <c r="I91" s="108" t="s">
        <v>109</v>
      </c>
      <c r="J91" s="109"/>
    </row>
    <row r="92" spans="2:11" ht="43.9" customHeight="1"/>
    <row r="93" spans="2:11" ht="43.9" customHeight="1"/>
  </sheetData>
  <mergeCells count="46">
    <mergeCell ref="I91:J91"/>
    <mergeCell ref="K20:K31"/>
    <mergeCell ref="K77:K83"/>
    <mergeCell ref="I90:J90"/>
    <mergeCell ref="K50:K57"/>
    <mergeCell ref="K34:K41"/>
    <mergeCell ref="K72:K74"/>
    <mergeCell ref="J14:J15"/>
    <mergeCell ref="B84:H84"/>
    <mergeCell ref="B86:D86"/>
    <mergeCell ref="E86:J86"/>
    <mergeCell ref="B87:D88"/>
    <mergeCell ref="E87:J87"/>
    <mergeCell ref="E88:J88"/>
    <mergeCell ref="H7:J7"/>
    <mergeCell ref="B85:D85"/>
    <mergeCell ref="E85:J85"/>
    <mergeCell ref="B9:J9"/>
    <mergeCell ref="H12:J12"/>
    <mergeCell ref="B13:C13"/>
    <mergeCell ref="D13:F13"/>
    <mergeCell ref="G13:J13"/>
    <mergeCell ref="B14:B15"/>
    <mergeCell ref="C14:C15"/>
    <mergeCell ref="D14:D15"/>
    <mergeCell ref="E14:E15"/>
    <mergeCell ref="F14:F15"/>
    <mergeCell ref="G14:G15"/>
    <mergeCell ref="H14:H15"/>
    <mergeCell ref="I14:I15"/>
    <mergeCell ref="B1:J1"/>
    <mergeCell ref="B2:D2"/>
    <mergeCell ref="E2:G2"/>
    <mergeCell ref="B3:B7"/>
    <mergeCell ref="C3:D3"/>
    <mergeCell ref="E3:G3"/>
    <mergeCell ref="H3:J3"/>
    <mergeCell ref="C4:D4"/>
    <mergeCell ref="H4:J4"/>
    <mergeCell ref="C5:D5"/>
    <mergeCell ref="E5:G5"/>
    <mergeCell ref="H5:J5"/>
    <mergeCell ref="C6:D6"/>
    <mergeCell ref="E6:G6"/>
    <mergeCell ref="C7:D7"/>
    <mergeCell ref="E7:G7"/>
  </mergeCells>
  <pageMargins left="0.28999999999999998" right="0.24" top="0.28999999999999998" bottom="0.26" header="0.3" footer="0.3"/>
  <pageSetup paperSize="9" scale="43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santosh.ghorpade0096@gmail.com</dc:creator>
  <cp:lastModifiedBy>kwikpatch</cp:lastModifiedBy>
  <cp:lastPrinted>2026-08-25T04:26:12Z</cp:lastPrinted>
  <dcterms:created xsi:type="dcterms:W3CDTF">2026-06-22T09:31:26Z</dcterms:created>
  <dcterms:modified xsi:type="dcterms:W3CDTF">2026-09-02T04:01:11Z</dcterms:modified>
</cp:coreProperties>
</file>
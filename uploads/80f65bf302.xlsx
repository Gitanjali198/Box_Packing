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ikpatch\Downloads\"/>
    </mc:Choice>
  </mc:AlternateContent>
  <xr:revisionPtr revIDLastSave="0" documentId="13_ncr:1_{7A6E7298-C793-4E8A-8000-93535BAF2C42}" xr6:coauthVersionLast="47" xr6:coauthVersionMax="47" xr10:uidLastSave="{00000000-0000-0000-0000-000000000000}"/>
  <bookViews>
    <workbookView xWindow="-120" yWindow="-120" windowWidth="21840" windowHeight="13020" xr2:uid="{EDF39D52-ADA8-4540-9B8B-D1BB5DAD86F2}"/>
  </bookViews>
  <sheets>
    <sheet name="MILESTONE PI 08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7" i="1" l="1"/>
  <c r="G46" i="1"/>
  <c r="I46" i="1" s="1"/>
  <c r="G45" i="1"/>
  <c r="I45" i="1" s="1"/>
  <c r="G44" i="1"/>
  <c r="I44" i="1" s="1"/>
  <c r="G43" i="1"/>
  <c r="I43" i="1" s="1"/>
  <c r="G42" i="1"/>
  <c r="I42" i="1" s="1"/>
  <c r="G41" i="1"/>
  <c r="I41" i="1" s="1"/>
  <c r="I40" i="1"/>
  <c r="G39" i="1"/>
  <c r="I39" i="1" s="1"/>
  <c r="I38" i="1"/>
  <c r="G37" i="1"/>
  <c r="I37" i="1" s="1"/>
  <c r="G36" i="1"/>
  <c r="I36" i="1" s="1"/>
  <c r="G35" i="1"/>
  <c r="I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G19" i="1"/>
  <c r="I19" i="1" s="1"/>
  <c r="G18" i="1"/>
  <c r="I18" i="1" s="1"/>
  <c r="I50" i="1" l="1"/>
</calcChain>
</file>

<file path=xl/sharedStrings.xml><?xml version="1.0" encoding="utf-8"?>
<sst xmlns="http://schemas.openxmlformats.org/spreadsheetml/2006/main" count="125" uniqueCount="120">
  <si>
    <t xml:space="preserve"> PROFORMA INVOICE </t>
  </si>
  <si>
    <t xml:space="preserve">               EXPORTER</t>
  </si>
  <si>
    <t>TO</t>
  </si>
  <si>
    <t xml:space="preserve">               KWIK  PATCH  PRIVATE  LTD</t>
  </si>
  <si>
    <t xml:space="preserve">            Milestone Tyres &amp; accessories tr </t>
  </si>
  <si>
    <t xml:space="preserve">               First Floor, No. 2 Sree Ganesh,</t>
  </si>
  <si>
    <t xml:space="preserve">             P.B 72657, Sharjah , Indl 2, </t>
  </si>
  <si>
    <t xml:space="preserve">               6th Street, K.V. Colony,</t>
  </si>
  <si>
    <t xml:space="preserve">             U.A.E  </t>
  </si>
  <si>
    <t xml:space="preserve">               West Mambalam, Chennai 600 033.</t>
  </si>
  <si>
    <t xml:space="preserve">             Tel: 0097165331980 </t>
  </si>
  <si>
    <t xml:space="preserve">               E-Mail: menon@kwikpatch.com</t>
  </si>
  <si>
    <t xml:space="preserve">              E-mail: jamestktm@gmail.com</t>
  </si>
  <si>
    <t xml:space="preserve">               Mobile: +91 9840042616</t>
  </si>
  <si>
    <t xml:space="preserve"> </t>
  </si>
  <si>
    <t>PI NO. 088 DATED 19-08-2026 AGAINST WHATSAPP DT : 18-08-2026</t>
  </si>
  <si>
    <t>DEAR SIRS,</t>
  </si>
  <si>
    <r>
      <t xml:space="preserve">                    WE SHALL ARRANGE TO SUPPLY THE FOLLOWING ITEMS, AS REQUESTED BY YOU ON </t>
    </r>
    <r>
      <rPr>
        <b/>
        <sz val="10"/>
        <rFont val="Bookman Old Style"/>
        <family val="1"/>
      </rPr>
      <t>FOB CHENNAI AS PER PER PRICE, TERMS &amp; CONDITIONS QUOTED HEREUNDER:-</t>
    </r>
  </si>
  <si>
    <t>MODE OF SHIPMENT</t>
  </si>
  <si>
    <t>BY SEA</t>
  </si>
  <si>
    <t>C &amp; F CHENNAI</t>
  </si>
  <si>
    <t>S.NO</t>
  </si>
  <si>
    <t>Product Description</t>
  </si>
  <si>
    <t>Dimension</t>
  </si>
  <si>
    <t>Qty  BOX/PC</t>
  </si>
  <si>
    <t>Total Order Box</t>
  </si>
  <si>
    <t>Total No.of Units</t>
  </si>
  <si>
    <t>Price EA Unit USD</t>
  </si>
  <si>
    <t>Total Value  USD</t>
  </si>
  <si>
    <t>Specifications</t>
  </si>
  <si>
    <t>BP -0 MTA</t>
  </si>
  <si>
    <t>40 MM (Round)</t>
  </si>
  <si>
    <t xml:space="preserve">Grey Gum, Blue Poly  , MTA Brand label, Packing in MTA  Printed  Boxes </t>
  </si>
  <si>
    <t>BP 1MTA</t>
  </si>
  <si>
    <t>60 MM (ROUND)</t>
  </si>
  <si>
    <t>BP-2 MTA -</t>
  </si>
  <si>
    <t>75 MM</t>
  </si>
  <si>
    <t>BP 5 MTA</t>
  </si>
  <si>
    <t>175 mm</t>
  </si>
  <si>
    <t>MTA-RAD- 120</t>
  </si>
  <si>
    <t>95 X 150 mm</t>
  </si>
  <si>
    <t>MTA-RAD- 140</t>
  </si>
  <si>
    <t>110 x 205 MM</t>
  </si>
  <si>
    <t>CHEMBLUE -1</t>
  </si>
  <si>
    <t xml:space="preserve">60 mm </t>
  </si>
  <si>
    <t>Packed in Chemblue  Printed Boxes.  White box if boxes not supplied earlier and if quantity is less.</t>
  </si>
  <si>
    <t>CHEMBLUE 2</t>
  </si>
  <si>
    <t>80 mm</t>
  </si>
  <si>
    <t>CHEMBLUE 3</t>
  </si>
  <si>
    <t>118 mm</t>
  </si>
  <si>
    <t>Chemblue - 4</t>
  </si>
  <si>
    <t>160 mm</t>
  </si>
  <si>
    <t>Chemblue - 5</t>
  </si>
  <si>
    <t>185 mm</t>
  </si>
  <si>
    <t>Chemblue - 6</t>
  </si>
  <si>
    <t>265 mm</t>
  </si>
  <si>
    <t>CHEMBLUE 10</t>
  </si>
  <si>
    <t>45 x71 mm</t>
  </si>
  <si>
    <t>Chemblue 15</t>
  </si>
  <si>
    <t>56 x 96 mm</t>
  </si>
  <si>
    <t>CHEMBLUE 20</t>
  </si>
  <si>
    <t>125 X 80 mm</t>
  </si>
  <si>
    <t>CHEMBLUE 22</t>
  </si>
  <si>
    <t>77 x 157 mm</t>
  </si>
  <si>
    <t>CHEMBLUE -35</t>
  </si>
  <si>
    <t>124 x 175 mm</t>
  </si>
  <si>
    <t>CHEMBLUE 45</t>
  </si>
  <si>
    <t>174 x 225  mm</t>
  </si>
  <si>
    <t>CHEMBLUE 46</t>
  </si>
  <si>
    <t>161 x 421 mm</t>
  </si>
  <si>
    <t>KWIK MTR RUBBER 5 KG</t>
  </si>
  <si>
    <t>5 kg</t>
  </si>
  <si>
    <t>UP 8</t>
  </si>
  <si>
    <t>MTR CORD FABRIC</t>
  </si>
  <si>
    <t>5 mtr</t>
  </si>
  <si>
    <t>OTR 1</t>
  </si>
  <si>
    <t>OTR 2</t>
  </si>
  <si>
    <t>KWIK HD BLUE+ 250 ML</t>
  </si>
  <si>
    <t>KWIK SOL 250 ML</t>
  </si>
  <si>
    <t xml:space="preserve">String 8'' HD  Brown  6 mm- chemblue </t>
  </si>
  <si>
    <t xml:space="preserve">String 8'' HD  Brown  5 - 5.2 mm- chemblue </t>
  </si>
  <si>
    <t>5.2MM</t>
  </si>
  <si>
    <t>MOUNTING PASTE 5KG</t>
  </si>
  <si>
    <t>5KG</t>
  </si>
  <si>
    <t>BRAND CHEMBLUE</t>
  </si>
  <si>
    <t xml:space="preserve">NOTE: </t>
  </si>
  <si>
    <t>Only Full container to be booked for shipping</t>
  </si>
  <si>
    <t>TOTAL USD</t>
  </si>
  <si>
    <t>NOTE: ITEM THIRTY TWO ONLY</t>
  </si>
  <si>
    <t>PAYMENT TERMS AND CONDITIONS</t>
  </si>
  <si>
    <t>PRICE TERMS</t>
  </si>
  <si>
    <t>25% ADVANCE, AND BALANCE AGAINST BL</t>
  </si>
  <si>
    <t>Bank Details :-</t>
  </si>
  <si>
    <t>INDUSIND BANK LTD</t>
  </si>
  <si>
    <t>BANK NAME         </t>
  </si>
  <si>
    <t xml:space="preserve">CHENNAI </t>
  </si>
  <si>
    <t>BRANCH NAME</t>
  </si>
  <si>
    <t>NO.3 VILLAGE ROAD NUNGAMBAKKAM, CHENNAI - 600 034</t>
  </si>
  <si>
    <t>ADDRESS</t>
  </si>
  <si>
    <t xml:space="preserve">INDBINBBMAN </t>
  </si>
  <si>
    <t xml:space="preserve">SWIFT ID       </t>
  </si>
  <si>
    <t>KWIK PATCH PRIVATE LIMITED</t>
  </si>
  <si>
    <t xml:space="preserve">Account Name </t>
  </si>
  <si>
    <t>,200999509557</t>
  </si>
  <si>
    <t>Account No</t>
  </si>
  <si>
    <t>USD</t>
  </si>
  <si>
    <t xml:space="preserve">Currency </t>
  </si>
  <si>
    <t>PORT OF LOADING</t>
  </si>
  <si>
    <t>CHENNAI, INDIA</t>
  </si>
  <si>
    <t>PORT OF DISCHARGE</t>
  </si>
  <si>
    <t>JEBEL ALI, DUBAI</t>
  </si>
  <si>
    <t>CERTIFICATE OF ORIGIN</t>
  </si>
  <si>
    <t>REQUIRED</t>
  </si>
  <si>
    <t>DOCUMENTS REQUIRED</t>
  </si>
  <si>
    <t>INVOICE,PACKING LIST, &amp; BILL OF LADING.</t>
  </si>
  <si>
    <t>SHIPMENT TO</t>
  </si>
  <si>
    <t xml:space="preserve">Milestone Tyres &amp; accessories tr </t>
  </si>
  <si>
    <t>SHIPPING MARKS</t>
  </si>
  <si>
    <t>AUTHORISED SIGNATORY.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</si>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</sst>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00"/>
    <numFmt numFmtId="165" formatCode="0.000"/>
    <numFmt numFmtId="166" formatCode="0.0000"/>
    <numFmt numFmtId="167" formatCode="#,##0.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  <font>
      <b/>
      <sz val="9"/>
      <name val="Bookman Old Style"/>
      <family val="1"/>
    </font>
    <font>
      <sz val="9"/>
      <name val="Tahoma"/>
      <family val="2"/>
    </font>
    <font>
      <sz val="9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sz val="8"/>
      <name val="Bookman Old Style"/>
      <family val="1"/>
    </font>
    <font>
      <b/>
      <sz val="12"/>
      <name val="Bookman Old Style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b/>
      <sz val="10"/>
      <color rgb="FFE40000"/>
      <name val="Bookman Old Style"/>
      <family val="1"/>
    </font>
    <font>
      <sz val="11"/>
      <color theme="1"/>
      <name val="Bookman Old Style"/>
      <family val="1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name val="Bookman Old Style"/>
      <family val="1"/>
    </font>
    <font>
      <b/>
      <sz val="8"/>
      <name val="Bookman Old Style"/>
      <family val="1"/>
    </font>
    <font>
      <b/>
      <sz val="12"/>
      <color theme="1"/>
      <name val="Bookman Old Style"/>
      <family val="1"/>
    </font>
    <font>
      <b/>
      <sz val="8"/>
      <color theme="1"/>
      <name val="Bookman Old Style"/>
      <family val="1"/>
    </font>
    <font>
      <b/>
      <i/>
      <sz val="10"/>
      <color indexed="12"/>
      <name val="Bookman Old Style"/>
      <family val="1"/>
    </font>
    <font>
      <b/>
      <sz val="10"/>
      <color indexed="12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6C6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/>
    <xf numFmtId="0" fontId="4" fillId="2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4" fillId="2" borderId="10" xfId="0" applyFont="1" applyFill="1" applyBorder="1"/>
    <xf numFmtId="0" fontId="4" fillId="2" borderId="11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left"/>
    </xf>
    <xf numFmtId="164" fontId="4" fillId="2" borderId="11" xfId="0" applyNumberFormat="1" applyFont="1" applyFill="1" applyBorder="1" applyAlignment="1">
      <alignment horizontal="left"/>
    </xf>
    <xf numFmtId="164" fontId="4" fillId="2" borderId="14" xfId="0" applyNumberFormat="1" applyFont="1" applyFill="1" applyBorder="1" applyAlignment="1">
      <alignment horizontal="left"/>
    </xf>
    <xf numFmtId="0" fontId="5" fillId="2" borderId="11" xfId="0" applyFont="1" applyFill="1" applyBorder="1" applyAlignment="1">
      <alignment horizontal="left" wrapText="1"/>
    </xf>
    <xf numFmtId="0" fontId="6" fillId="2" borderId="11" xfId="0" applyFont="1" applyFill="1" applyBorder="1" applyAlignment="1">
      <alignment horizontal="center"/>
    </xf>
    <xf numFmtId="164" fontId="6" fillId="2" borderId="13" xfId="0" applyNumberFormat="1" applyFont="1" applyFill="1" applyBorder="1" applyAlignment="1">
      <alignment horizontal="left"/>
    </xf>
    <xf numFmtId="164" fontId="6" fillId="2" borderId="11" xfId="0" applyNumberFormat="1" applyFont="1" applyFill="1" applyBorder="1" applyAlignment="1">
      <alignment horizontal="left"/>
    </xf>
    <xf numFmtId="164" fontId="6" fillId="2" borderId="14" xfId="0" applyNumberFormat="1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2" xfId="0" quotePrefix="1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8" fillId="2" borderId="18" xfId="0" applyFont="1" applyFill="1" applyBorder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2" fontId="8" fillId="2" borderId="0" xfId="0" applyNumberFormat="1" applyFont="1" applyFill="1" applyAlignment="1">
      <alignment horizontal="center"/>
    </xf>
    <xf numFmtId="0" fontId="8" fillId="2" borderId="19" xfId="0" applyFont="1" applyFill="1" applyBorder="1"/>
    <xf numFmtId="0" fontId="8" fillId="2" borderId="18" xfId="0" applyFont="1" applyFill="1" applyBorder="1" applyAlignment="1">
      <alignment horizontal="left" wrapText="1"/>
    </xf>
    <xf numFmtId="0" fontId="0" fillId="0" borderId="0" xfId="0"/>
    <xf numFmtId="0" fontId="0" fillId="0" borderId="19" xfId="0" applyBorder="1"/>
    <xf numFmtId="0" fontId="0" fillId="0" borderId="4" xfId="0" applyBorder="1"/>
    <xf numFmtId="0" fontId="0" fillId="0" borderId="5" xfId="0" applyBorder="1"/>
    <xf numFmtId="0" fontId="0" fillId="0" borderId="20" xfId="0" applyBorder="1"/>
    <xf numFmtId="0" fontId="9" fillId="2" borderId="21" xfId="0" applyFont="1" applyFill="1" applyBorder="1"/>
    <xf numFmtId="0" fontId="8" fillId="2" borderId="22" xfId="0" applyFont="1" applyFill="1" applyBorder="1" applyAlignment="1">
      <alignment horizontal="left"/>
    </xf>
    <xf numFmtId="0" fontId="8" fillId="2" borderId="23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1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left" vertical="center" wrapText="1"/>
    </xf>
    <xf numFmtId="0" fontId="12" fillId="2" borderId="27" xfId="0" applyFont="1" applyFill="1" applyBorder="1" applyAlignment="1">
      <alignment horizontal="center" vertical="center" wrapText="1"/>
    </xf>
    <xf numFmtId="2" fontId="12" fillId="2" borderId="27" xfId="0" applyNumberFormat="1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14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left"/>
    </xf>
    <xf numFmtId="0" fontId="16" fillId="3" borderId="31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center"/>
    </xf>
    <xf numFmtId="0" fontId="8" fillId="3" borderId="31" xfId="0" applyFont="1" applyFill="1" applyBorder="1" applyAlignment="1">
      <alignment horizontal="center"/>
    </xf>
    <xf numFmtId="2" fontId="8" fillId="3" borderId="13" xfId="0" applyNumberFormat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left" vertical="center"/>
    </xf>
    <xf numFmtId="0" fontId="0" fillId="3" borderId="31" xfId="0" applyFill="1" applyBorder="1" applyAlignment="1">
      <alignment horizontal="center" vertical="center"/>
    </xf>
    <xf numFmtId="0" fontId="15" fillId="3" borderId="31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165" fontId="15" fillId="3" borderId="31" xfId="0" applyNumberFormat="1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166" fontId="8" fillId="3" borderId="31" xfId="0" applyNumberFormat="1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2" fontId="8" fillId="3" borderId="31" xfId="0" applyNumberFormat="1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/>
    </xf>
    <xf numFmtId="167" fontId="8" fillId="3" borderId="31" xfId="0" applyNumberFormat="1" applyFont="1" applyFill="1" applyBorder="1" applyAlignment="1">
      <alignment horizontal="center" vertical="center" wrapText="1"/>
    </xf>
    <xf numFmtId="2" fontId="15" fillId="3" borderId="31" xfId="0" applyNumberFormat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165" fontId="15" fillId="3" borderId="13" xfId="0" applyNumberFormat="1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/>
    </xf>
    <xf numFmtId="2" fontId="15" fillId="3" borderId="13" xfId="0" applyNumberFormat="1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left"/>
    </xf>
    <xf numFmtId="0" fontId="19" fillId="3" borderId="31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left"/>
    </xf>
    <xf numFmtId="0" fontId="18" fillId="4" borderId="31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2" fontId="15" fillId="4" borderId="31" xfId="0" applyNumberFormat="1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left"/>
    </xf>
    <xf numFmtId="0" fontId="18" fillId="5" borderId="31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2" fontId="15" fillId="5" borderId="31" xfId="0" applyNumberFormat="1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 wrapText="1"/>
    </xf>
    <xf numFmtId="0" fontId="15" fillId="6" borderId="31" xfId="0" applyFont="1" applyFill="1" applyBorder="1" applyAlignment="1">
      <alignment horizontal="left" vertical="center"/>
    </xf>
    <xf numFmtId="0" fontId="0" fillId="6" borderId="31" xfId="0" applyFill="1" applyBorder="1" applyAlignment="1">
      <alignment horizontal="center" vertical="center"/>
    </xf>
    <xf numFmtId="0" fontId="15" fillId="6" borderId="31" xfId="0" applyFont="1" applyFill="1" applyBorder="1" applyAlignment="1">
      <alignment horizontal="center" vertical="center"/>
    </xf>
    <xf numFmtId="166" fontId="8" fillId="6" borderId="31" xfId="0" applyNumberFormat="1" applyFont="1" applyFill="1" applyBorder="1" applyAlignment="1">
      <alignment horizontal="center" vertical="center"/>
    </xf>
    <xf numFmtId="2" fontId="15" fillId="6" borderId="31" xfId="0" applyNumberFormat="1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left" vertical="center"/>
    </xf>
    <xf numFmtId="0" fontId="0" fillId="5" borderId="31" xfId="0" applyFill="1" applyBorder="1" applyAlignment="1">
      <alignment horizontal="center" vertical="center"/>
    </xf>
    <xf numFmtId="166" fontId="8" fillId="5" borderId="31" xfId="0" applyNumberFormat="1" applyFont="1" applyFill="1" applyBorder="1" applyAlignment="1">
      <alignment horizontal="center" vertical="center"/>
    </xf>
    <xf numFmtId="2" fontId="15" fillId="5" borderId="13" xfId="0" applyNumberFormat="1" applyFont="1" applyFill="1" applyBorder="1" applyAlignment="1">
      <alignment horizontal="center"/>
    </xf>
    <xf numFmtId="0" fontId="20" fillId="2" borderId="29" xfId="0" applyFont="1" applyFill="1" applyBorder="1" applyAlignment="1">
      <alignment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left" vertical="center"/>
    </xf>
    <xf numFmtId="0" fontId="0" fillId="2" borderId="31" xfId="0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166" fontId="8" fillId="2" borderId="31" xfId="0" applyNumberFormat="1" applyFont="1" applyFill="1" applyBorder="1" applyAlignment="1">
      <alignment horizontal="center" vertical="center"/>
    </xf>
    <xf numFmtId="2" fontId="15" fillId="2" borderId="13" xfId="0" applyNumberFormat="1" applyFont="1" applyFill="1" applyBorder="1" applyAlignment="1">
      <alignment horizontal="center"/>
    </xf>
    <xf numFmtId="0" fontId="20" fillId="2" borderId="34" xfId="0" applyFont="1" applyFill="1" applyBorder="1" applyAlignment="1">
      <alignment vertical="center" wrapText="1"/>
    </xf>
    <xf numFmtId="0" fontId="22" fillId="7" borderId="30" xfId="0" applyFont="1" applyFill="1" applyBorder="1" applyAlignment="1">
      <alignment horizontal="left"/>
    </xf>
    <xf numFmtId="0" fontId="22" fillId="7" borderId="31" xfId="0" applyFont="1" applyFill="1" applyBorder="1" applyAlignment="1">
      <alignment horizontal="left"/>
    </xf>
    <xf numFmtId="0" fontId="0" fillId="7" borderId="31" xfId="0" applyFill="1" applyBorder="1" applyAlignment="1">
      <alignment horizontal="center" vertical="center"/>
    </xf>
    <xf numFmtId="0" fontId="0" fillId="7" borderId="31" xfId="0" applyFill="1" applyBorder="1"/>
    <xf numFmtId="0" fontId="0" fillId="2" borderId="31" xfId="0" applyFill="1" applyBorder="1"/>
    <xf numFmtId="0" fontId="0" fillId="2" borderId="33" xfId="0" applyFill="1" applyBorder="1"/>
    <xf numFmtId="0" fontId="1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2" fontId="23" fillId="2" borderId="0" xfId="1" applyNumberFormat="1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0" fillId="2" borderId="35" xfId="0" applyFill="1" applyBorder="1"/>
    <xf numFmtId="0" fontId="8" fillId="2" borderId="36" xfId="0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right" vertical="center" wrapText="1"/>
    </xf>
    <xf numFmtId="0" fontId="25" fillId="2" borderId="37" xfId="0" applyFont="1" applyFill="1" applyBorder="1" applyAlignment="1">
      <alignment horizontal="right" vertical="center" wrapText="1"/>
    </xf>
    <xf numFmtId="2" fontId="23" fillId="2" borderId="18" xfId="1" applyNumberFormat="1" applyFont="1" applyFill="1" applyBorder="1" applyAlignment="1">
      <alignment horizontal="center" vertical="center" wrapText="1"/>
    </xf>
    <xf numFmtId="0" fontId="24" fillId="2" borderId="38" xfId="0" applyFont="1" applyFill="1" applyBorder="1" applyAlignment="1">
      <alignment horizontal="center"/>
    </xf>
    <xf numFmtId="0" fontId="24" fillId="2" borderId="39" xfId="0" applyFont="1" applyFill="1" applyBorder="1" applyAlignment="1">
      <alignment horizontal="left" vertical="center" wrapText="1"/>
    </xf>
    <xf numFmtId="0" fontId="26" fillId="2" borderId="40" xfId="0" applyFont="1" applyFill="1" applyBorder="1" applyAlignment="1">
      <alignment horizontal="left" vertical="center" wrapText="1"/>
    </xf>
    <xf numFmtId="0" fontId="26" fillId="2" borderId="4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 vertical="center" wrapText="1"/>
    </xf>
    <xf numFmtId="0" fontId="25" fillId="2" borderId="2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4" fillId="2" borderId="41" xfId="0" applyFont="1" applyFill="1" applyBorder="1" applyAlignment="1">
      <alignment horizontal="left" vertical="center" wrapText="1"/>
    </xf>
    <xf numFmtId="0" fontId="26" fillId="2" borderId="8" xfId="0" applyFont="1" applyFill="1" applyBorder="1" applyAlignment="1">
      <alignment horizontal="left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2" fontId="27" fillId="2" borderId="8" xfId="1" applyNumberFormat="1" applyFont="1" applyFill="1" applyBorder="1" applyAlignment="1">
      <alignment horizontal="center"/>
    </xf>
    <xf numFmtId="0" fontId="27" fillId="2" borderId="9" xfId="0" applyFont="1" applyFill="1" applyBorder="1" applyAlignment="1">
      <alignment horizontal="left"/>
    </xf>
    <xf numFmtId="0" fontId="7" fillId="2" borderId="4" xfId="0" applyFont="1" applyFill="1" applyBorder="1"/>
    <xf numFmtId="0" fontId="7" fillId="2" borderId="5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164" fontId="27" fillId="2" borderId="5" xfId="0" applyNumberFormat="1" applyFont="1" applyFill="1" applyBorder="1" applyAlignment="1">
      <alignment horizontal="center"/>
    </xf>
    <xf numFmtId="2" fontId="27" fillId="2" borderId="5" xfId="1" applyNumberFormat="1" applyFont="1" applyFill="1" applyBorder="1" applyAlignment="1">
      <alignment horizontal="center"/>
    </xf>
    <xf numFmtId="0" fontId="27" fillId="2" borderId="20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28" fillId="2" borderId="11" xfId="0" applyFont="1" applyFill="1" applyBorder="1" applyAlignment="1">
      <alignment horizontal="center"/>
    </xf>
    <xf numFmtId="164" fontId="28" fillId="2" borderId="11" xfId="0" applyNumberFormat="1" applyFont="1" applyFill="1" applyBorder="1" applyAlignment="1">
      <alignment horizontal="center"/>
    </xf>
    <xf numFmtId="2" fontId="27" fillId="2" borderId="11" xfId="1" applyNumberFormat="1" applyFont="1" applyFill="1" applyBorder="1" applyAlignment="1">
      <alignment horizontal="center"/>
    </xf>
    <xf numFmtId="2" fontId="27" fillId="2" borderId="14" xfId="1" applyNumberFormat="1" applyFont="1" applyFill="1" applyBorder="1" applyAlignment="1">
      <alignment horizontal="center"/>
    </xf>
    <xf numFmtId="0" fontId="7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2" fontId="28" fillId="2" borderId="11" xfId="1" applyNumberFormat="1" applyFont="1" applyFill="1" applyBorder="1" applyAlignment="1">
      <alignment horizontal="center"/>
    </xf>
    <xf numFmtId="0" fontId="28" fillId="2" borderId="14" xfId="0" applyFont="1" applyFill="1" applyBorder="1" applyAlignment="1">
      <alignment horizontal="left"/>
    </xf>
    <xf numFmtId="0" fontId="7" fillId="2" borderId="11" xfId="0" quotePrefix="1" applyFont="1" applyFill="1" applyBorder="1" applyAlignment="1">
      <alignment horizontal="center"/>
    </xf>
    <xf numFmtId="2" fontId="8" fillId="2" borderId="11" xfId="1" applyNumberFormat="1" applyFont="1" applyFill="1" applyBorder="1" applyAlignment="1">
      <alignment horizontal="center"/>
    </xf>
    <xf numFmtId="4" fontId="8" fillId="2" borderId="14" xfId="0" applyNumberFormat="1" applyFont="1" applyFill="1" applyBorder="1" applyAlignment="1">
      <alignment horizontal="left"/>
    </xf>
    <xf numFmtId="164" fontId="8" fillId="2" borderId="11" xfId="0" applyNumberFormat="1" applyFont="1" applyFill="1" applyBorder="1" applyAlignment="1">
      <alignment horizontal="center"/>
    </xf>
    <xf numFmtId="15" fontId="7" fillId="2" borderId="23" xfId="0" applyNumberFormat="1" applyFont="1" applyFill="1" applyBorder="1" applyAlignment="1">
      <alignment horizontal="center"/>
    </xf>
    <xf numFmtId="17" fontId="8" fillId="2" borderId="11" xfId="0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right" vertical="center"/>
    </xf>
    <xf numFmtId="0" fontId="7" fillId="2" borderId="14" xfId="0" applyFont="1" applyFill="1" applyBorder="1" applyAlignment="1">
      <alignment horizontal="right" vertical="center"/>
    </xf>
    <xf numFmtId="0" fontId="7" fillId="2" borderId="18" xfId="0" applyFont="1" applyFill="1" applyBorder="1" applyAlignment="1">
      <alignment horizontal="left"/>
    </xf>
    <xf numFmtId="17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9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42" xfId="0" applyFont="1" applyFill="1" applyBorder="1" applyAlignment="1">
      <alignment horizontal="left"/>
    </xf>
    <xf numFmtId="0" fontId="8" fillId="2" borderId="43" xfId="0" applyFont="1" applyFill="1" applyBorder="1" applyAlignment="1">
      <alignment horizontal="left"/>
    </xf>
    <xf numFmtId="0" fontId="8" fillId="2" borderId="43" xfId="0" applyFont="1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7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8" fillId="2" borderId="19" xfId="0" applyFont="1" applyFill="1" applyBorder="1" applyAlignment="1">
      <alignment horizontal="left"/>
    </xf>
    <xf numFmtId="0" fontId="7" fillId="2" borderId="0" xfId="0" applyFont="1" applyFill="1" applyAlignment="1">
      <alignment horizontal="right"/>
    </xf>
    <xf numFmtId="0" fontId="7" fillId="2" borderId="19" xfId="0" applyFont="1" applyFill="1" applyBorder="1" applyAlignment="1">
      <alignment horizontal="right"/>
    </xf>
    <xf numFmtId="0" fontId="7" fillId="2" borderId="45" xfId="0" applyFont="1" applyFill="1" applyBorder="1" applyAlignment="1">
      <alignment horizontal="left"/>
    </xf>
    <xf numFmtId="0" fontId="7" fillId="2" borderId="46" xfId="0" applyFont="1" applyFill="1" applyBorder="1" applyAlignment="1">
      <alignment horizontal="left"/>
    </xf>
    <xf numFmtId="0" fontId="7" fillId="2" borderId="46" xfId="0" applyFont="1" applyFill="1" applyBorder="1" applyAlignment="1">
      <alignment horizontal="center"/>
    </xf>
    <xf numFmtId="0" fontId="8" fillId="2" borderId="46" xfId="0" applyFont="1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47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2</xdr:row>
      <xdr:rowOff>16510</xdr:rowOff>
    </xdr:from>
    <xdr:to>
      <xdr:col>2</xdr:col>
      <xdr:colOff>386715</xdr:colOff>
      <xdr:row>8</xdr:row>
      <xdr:rowOff>149859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18B025A9-55CA-4FB5-A04D-209813622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688975" y="416560"/>
          <a:ext cx="955040" cy="1276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304800</xdr:colOff>
      <xdr:row>49</xdr:row>
      <xdr:rowOff>102870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DAA43F6-EDAC-486C-A482-9DF816FAC89F}"/>
            </a:ext>
          </a:extLst>
        </xdr:cNvPr>
        <xdr:cNvSpPr>
          <a:spLocks noChangeAspect="1" noChangeArrowheads="1"/>
        </xdr:cNvSpPr>
      </xdr:nvSpPr>
      <xdr:spPr bwMode="auto">
        <a:xfrm>
          <a:off x="17335500" y="9763125"/>
          <a:ext cx="304800" cy="436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304800</xdr:colOff>
      <xdr:row>49</xdr:row>
      <xdr:rowOff>102870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445EF998-B21B-46C4-9F09-8CB65D37FA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763125"/>
          <a:ext cx="304800" cy="436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144780</xdr:colOff>
      <xdr:row>73</xdr:row>
      <xdr:rowOff>152400</xdr:rowOff>
    </xdr:from>
    <xdr:to>
      <xdr:col>2</xdr:col>
      <xdr:colOff>1371601</xdr:colOff>
      <xdr:row>77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110D49-E204-4B1D-83DA-D3AB89F8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15059025"/>
          <a:ext cx="1874521" cy="8153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F288-942A-4FF0-B316-E3E174B1D43D}">
  <dimension ref="B1:R78"/>
  <sheetViews>
    <sheetView tabSelected="1" topLeftCell="A2" workbookViewId="0">
      <selection activeCell="H16" sqref="H16:H17"/>
    </sheetView>
  </sheetViews>
  <sheetFormatPr defaultColWidth="9.140625" defaultRowHeight="15" x14ac:dyDescent="0.25"/>
  <cols>
    <col min="1" max="1" width="9.140625" style="1"/>
    <col min="2" max="2" width="9.7109375" style="1" customWidth="1"/>
    <col min="3" max="3" width="51.28515625" style="2" customWidth="1"/>
    <col min="4" max="4" width="19" style="3" customWidth="1"/>
    <col min="5" max="5" width="12.140625" style="3" customWidth="1"/>
    <col min="6" max="6" width="14.28515625" style="3" customWidth="1"/>
    <col min="7" max="7" width="12.28515625" style="3" customWidth="1"/>
    <col min="8" max="8" width="14.85546875" style="3" customWidth="1"/>
    <col min="9" max="9" width="18.5703125" style="3" customWidth="1"/>
    <col min="10" max="10" width="23.7109375" style="1" customWidth="1"/>
    <col min="11" max="11" width="10.5703125" style="1" customWidth="1"/>
    <col min="12" max="12" width="9.140625" style="1"/>
    <col min="13" max="13" width="9.5703125" style="1" bestFit="1" customWidth="1"/>
    <col min="14" max="16384" width="9.140625" style="1"/>
  </cols>
  <sheetData>
    <row r="1" spans="2:10" ht="15.75" thickBot="1" x14ac:dyDescent="0.3"/>
    <row r="2" spans="2:10" ht="15.75" thickBot="1" x14ac:dyDescent="0.3">
      <c r="B2" s="4" t="s">
        <v>0</v>
      </c>
      <c r="C2" s="5"/>
      <c r="D2" s="5"/>
      <c r="E2" s="5"/>
      <c r="F2" s="5"/>
      <c r="G2" s="5"/>
      <c r="H2" s="5"/>
      <c r="I2" s="5"/>
      <c r="J2" s="6"/>
    </row>
    <row r="3" spans="2:10" x14ac:dyDescent="0.25">
      <c r="B3" s="7"/>
      <c r="C3" s="8" t="s">
        <v>1</v>
      </c>
      <c r="D3" s="9"/>
      <c r="E3" s="10"/>
      <c r="F3" s="11" t="s">
        <v>2</v>
      </c>
      <c r="G3" s="12"/>
      <c r="H3" s="12"/>
      <c r="I3" s="12"/>
      <c r="J3" s="13"/>
    </row>
    <row r="4" spans="2:10" ht="15" customHeight="1" x14ac:dyDescent="0.25">
      <c r="B4" s="14"/>
      <c r="C4" s="15" t="s">
        <v>3</v>
      </c>
      <c r="D4" s="16"/>
      <c r="E4" s="17"/>
      <c r="F4" s="18" t="s">
        <v>4</v>
      </c>
      <c r="G4" s="19"/>
      <c r="H4" s="19"/>
      <c r="I4" s="19"/>
      <c r="J4" s="20"/>
    </row>
    <row r="5" spans="2:10" x14ac:dyDescent="0.25">
      <c r="B5" s="14"/>
      <c r="C5" s="21" t="s">
        <v>5</v>
      </c>
      <c r="D5" s="22"/>
      <c r="E5" s="17"/>
      <c r="F5" s="23" t="s">
        <v>6</v>
      </c>
      <c r="G5" s="24"/>
      <c r="H5" s="24"/>
      <c r="I5" s="24"/>
      <c r="J5" s="25"/>
    </row>
    <row r="6" spans="2:10" x14ac:dyDescent="0.25">
      <c r="B6" s="14"/>
      <c r="C6" s="26" t="s">
        <v>7</v>
      </c>
      <c r="D6" s="22"/>
      <c r="E6" s="17"/>
      <c r="F6" s="23" t="s">
        <v>8</v>
      </c>
      <c r="G6" s="24"/>
      <c r="H6" s="24"/>
      <c r="I6" s="24"/>
      <c r="J6" s="25"/>
    </row>
    <row r="7" spans="2:10" x14ac:dyDescent="0.25">
      <c r="B7" s="14"/>
      <c r="C7" s="26" t="s">
        <v>9</v>
      </c>
      <c r="D7" s="22"/>
      <c r="E7" s="17"/>
      <c r="F7" s="23" t="s">
        <v>10</v>
      </c>
      <c r="G7" s="24"/>
      <c r="H7" s="24"/>
      <c r="I7" s="24"/>
      <c r="J7" s="25"/>
    </row>
    <row r="8" spans="2:10" x14ac:dyDescent="0.25">
      <c r="B8" s="7"/>
      <c r="C8" s="27" t="s">
        <v>11</v>
      </c>
      <c r="D8" s="22"/>
      <c r="E8" s="16"/>
      <c r="F8" s="28" t="s">
        <v>12</v>
      </c>
      <c r="G8" s="29"/>
      <c r="H8" s="29"/>
      <c r="I8" s="29"/>
      <c r="J8" s="30"/>
    </row>
    <row r="9" spans="2:10" x14ac:dyDescent="0.25">
      <c r="B9" s="14"/>
      <c r="C9" s="27" t="s">
        <v>13</v>
      </c>
      <c r="D9" s="22"/>
      <c r="E9" s="17"/>
      <c r="F9" s="31"/>
      <c r="G9" s="32"/>
      <c r="H9" s="32"/>
      <c r="I9" s="32"/>
      <c r="J9" s="33"/>
    </row>
    <row r="10" spans="2:10" x14ac:dyDescent="0.25">
      <c r="B10" s="14"/>
      <c r="C10" s="27" t="s">
        <v>14</v>
      </c>
      <c r="D10" s="22"/>
      <c r="E10" s="34"/>
      <c r="F10" s="31" t="s">
        <v>14</v>
      </c>
      <c r="G10" s="32"/>
      <c r="H10" s="32"/>
      <c r="I10" s="32"/>
      <c r="J10" s="33"/>
    </row>
    <row r="11" spans="2:10" ht="15.75" thickBot="1" x14ac:dyDescent="0.3">
      <c r="B11" s="35" t="s">
        <v>15</v>
      </c>
      <c r="C11" s="36"/>
      <c r="D11" s="36"/>
      <c r="E11" s="36"/>
      <c r="F11" s="36"/>
      <c r="G11" s="36"/>
      <c r="H11" s="36"/>
      <c r="I11" s="36"/>
      <c r="J11" s="37"/>
    </row>
    <row r="12" spans="2:10" ht="15.75" x14ac:dyDescent="0.3">
      <c r="B12" s="38" t="s">
        <v>16</v>
      </c>
      <c r="C12" s="39"/>
      <c r="D12" s="40"/>
      <c r="E12" s="40"/>
      <c r="F12" s="40"/>
      <c r="G12" s="40"/>
      <c r="H12" s="41"/>
      <c r="I12" s="42"/>
      <c r="J12" s="43"/>
    </row>
    <row r="13" spans="2:10" ht="15" customHeight="1" x14ac:dyDescent="0.25">
      <c r="B13" s="44" t="s">
        <v>17</v>
      </c>
      <c r="C13" s="45"/>
      <c r="D13" s="45"/>
      <c r="E13" s="45"/>
      <c r="F13" s="45"/>
      <c r="G13" s="45"/>
      <c r="H13" s="45"/>
      <c r="I13" s="45"/>
      <c r="J13" s="46"/>
    </row>
    <row r="14" spans="2:10" ht="15" customHeight="1" x14ac:dyDescent="0.25">
      <c r="B14" s="47"/>
      <c r="C14" s="48"/>
      <c r="D14" s="48"/>
      <c r="E14" s="48"/>
      <c r="F14" s="48"/>
      <c r="G14" s="48"/>
      <c r="H14" s="48"/>
      <c r="I14" s="48"/>
      <c r="J14" s="49"/>
    </row>
    <row r="15" spans="2:10" ht="17.25" thickBot="1" x14ac:dyDescent="0.35">
      <c r="B15" s="50" t="s">
        <v>18</v>
      </c>
      <c r="C15" s="51"/>
      <c r="D15" s="52"/>
      <c r="E15" s="53" t="s">
        <v>19</v>
      </c>
      <c r="F15" s="53"/>
      <c r="G15" s="52"/>
      <c r="H15" s="54" t="s">
        <v>20</v>
      </c>
      <c r="I15" s="53"/>
      <c r="J15" s="55"/>
    </row>
    <row r="16" spans="2:10" x14ac:dyDescent="0.25">
      <c r="B16" s="56" t="s">
        <v>21</v>
      </c>
      <c r="C16" s="57" t="s">
        <v>22</v>
      </c>
      <c r="D16" s="58" t="s">
        <v>23</v>
      </c>
      <c r="E16" s="58" t="s">
        <v>24</v>
      </c>
      <c r="F16" s="58" t="s">
        <v>25</v>
      </c>
      <c r="G16" s="58" t="s">
        <v>26</v>
      </c>
      <c r="H16" s="58" t="s">
        <v>27</v>
      </c>
      <c r="I16" s="59" t="s">
        <v>28</v>
      </c>
      <c r="J16" s="60" t="s">
        <v>29</v>
      </c>
    </row>
    <row r="17" spans="2:14" x14ac:dyDescent="0.25">
      <c r="B17" s="61"/>
      <c r="C17" s="62"/>
      <c r="D17" s="63"/>
      <c r="E17" s="64"/>
      <c r="F17" s="64"/>
      <c r="G17" s="64"/>
      <c r="H17" s="64"/>
      <c r="I17" s="64"/>
      <c r="J17" s="65"/>
      <c r="K17" s="66"/>
      <c r="L17" s="66"/>
      <c r="M17" s="67"/>
      <c r="N17" s="67"/>
    </row>
    <row r="18" spans="2:14" ht="15.75" x14ac:dyDescent="0.3">
      <c r="B18" s="68">
        <v>1</v>
      </c>
      <c r="C18" s="69" t="s">
        <v>30</v>
      </c>
      <c r="D18" s="70" t="s">
        <v>31</v>
      </c>
      <c r="E18" s="71">
        <v>50</v>
      </c>
      <c r="F18" s="71">
        <v>50</v>
      </c>
      <c r="G18" s="71">
        <f t="shared" ref="G18" si="0">E18*F18</f>
        <v>2500</v>
      </c>
      <c r="H18" s="72"/>
      <c r="I18" s="73">
        <f t="shared" ref="I18" si="1">G18*H18</f>
        <v>0</v>
      </c>
      <c r="J18" s="74" t="s">
        <v>32</v>
      </c>
      <c r="K18" s="66"/>
      <c r="L18" s="66"/>
      <c r="M18" s="67"/>
      <c r="N18" s="67"/>
    </row>
    <row r="19" spans="2:14" ht="14.45" customHeight="1" x14ac:dyDescent="0.25">
      <c r="B19" s="68">
        <v>2</v>
      </c>
      <c r="C19" s="75" t="s">
        <v>33</v>
      </c>
      <c r="D19" s="76" t="s">
        <v>34</v>
      </c>
      <c r="E19" s="77">
        <v>20</v>
      </c>
      <c r="F19" s="77">
        <v>200</v>
      </c>
      <c r="G19" s="77">
        <f>E19*F19</f>
        <v>4000</v>
      </c>
      <c r="H19" s="78"/>
      <c r="I19" s="79">
        <f>H19*G19</f>
        <v>0</v>
      </c>
      <c r="J19" s="80"/>
      <c r="K19" s="66"/>
      <c r="L19" s="66"/>
      <c r="M19" s="67"/>
      <c r="N19" s="67"/>
    </row>
    <row r="20" spans="2:14" x14ac:dyDescent="0.25">
      <c r="B20" s="68">
        <v>3</v>
      </c>
      <c r="C20" s="75" t="s">
        <v>35</v>
      </c>
      <c r="D20" s="76" t="s">
        <v>36</v>
      </c>
      <c r="E20" s="77">
        <v>20</v>
      </c>
      <c r="F20" s="77">
        <v>200</v>
      </c>
      <c r="G20" s="77">
        <f>F20*E20</f>
        <v>4000</v>
      </c>
      <c r="H20" s="78"/>
      <c r="I20" s="79">
        <f>H20*G20</f>
        <v>0</v>
      </c>
      <c r="J20" s="80"/>
      <c r="K20" s="66"/>
      <c r="L20" s="66"/>
      <c r="M20" s="67"/>
      <c r="N20" s="67"/>
    </row>
    <row r="21" spans="2:14" x14ac:dyDescent="0.25">
      <c r="B21" s="68">
        <v>4</v>
      </c>
      <c r="C21" s="75" t="s">
        <v>37</v>
      </c>
      <c r="D21" s="76" t="s">
        <v>38</v>
      </c>
      <c r="E21" s="77">
        <v>10</v>
      </c>
      <c r="F21" s="77">
        <v>100</v>
      </c>
      <c r="G21" s="77">
        <f>F21*E21</f>
        <v>1000</v>
      </c>
      <c r="H21" s="81"/>
      <c r="I21" s="79">
        <f>H21*G21</f>
        <v>0</v>
      </c>
      <c r="J21" s="82"/>
      <c r="K21" s="66"/>
      <c r="L21" s="66"/>
      <c r="M21" s="67"/>
      <c r="N21" s="67"/>
    </row>
    <row r="22" spans="2:14" x14ac:dyDescent="0.25">
      <c r="B22" s="68">
        <v>5</v>
      </c>
      <c r="C22" s="75" t="s">
        <v>39</v>
      </c>
      <c r="D22" s="76" t="s">
        <v>40</v>
      </c>
      <c r="E22" s="77">
        <v>10</v>
      </c>
      <c r="F22" s="77">
        <v>300</v>
      </c>
      <c r="G22" s="77">
        <f>E22*F22</f>
        <v>3000</v>
      </c>
      <c r="H22" s="78"/>
      <c r="I22" s="83">
        <f>G22*H22</f>
        <v>0</v>
      </c>
      <c r="J22" s="84"/>
      <c r="K22" s="66"/>
      <c r="L22" s="66"/>
      <c r="M22" s="67"/>
      <c r="N22" s="67"/>
    </row>
    <row r="23" spans="2:14" x14ac:dyDescent="0.25">
      <c r="B23" s="68">
        <v>6</v>
      </c>
      <c r="C23" s="75" t="s">
        <v>41</v>
      </c>
      <c r="D23" s="76" t="s">
        <v>42</v>
      </c>
      <c r="E23" s="85">
        <v>10</v>
      </c>
      <c r="F23" s="85">
        <v>100</v>
      </c>
      <c r="G23" s="85">
        <f>E23*F23</f>
        <v>1000</v>
      </c>
      <c r="H23" s="78"/>
      <c r="I23" s="83">
        <f>G23*H23</f>
        <v>0</v>
      </c>
      <c r="J23" s="84"/>
      <c r="K23" s="66"/>
      <c r="L23" s="66"/>
      <c r="M23" s="67"/>
      <c r="N23" s="67"/>
    </row>
    <row r="24" spans="2:14" ht="26.45" customHeight="1" x14ac:dyDescent="0.25">
      <c r="B24" s="68">
        <v>7</v>
      </c>
      <c r="C24" s="75" t="s">
        <v>43</v>
      </c>
      <c r="D24" s="76" t="s">
        <v>44</v>
      </c>
      <c r="E24" s="77">
        <v>20</v>
      </c>
      <c r="F24" s="77">
        <v>500</v>
      </c>
      <c r="G24" s="77">
        <f t="shared" ref="G24" si="2">E24*F24</f>
        <v>10000</v>
      </c>
      <c r="H24" s="86"/>
      <c r="I24" s="87">
        <f t="shared" ref="I24:I37" si="3">H24*G24</f>
        <v>0</v>
      </c>
      <c r="J24" s="88" t="s">
        <v>45</v>
      </c>
      <c r="K24" s="66"/>
      <c r="L24" s="66"/>
      <c r="M24" s="67"/>
      <c r="N24" s="67"/>
    </row>
    <row r="25" spans="2:14" ht="26.45" customHeight="1" x14ac:dyDescent="0.25">
      <c r="B25" s="68">
        <v>8</v>
      </c>
      <c r="C25" s="75" t="s">
        <v>46</v>
      </c>
      <c r="D25" s="76" t="s">
        <v>47</v>
      </c>
      <c r="E25" s="77">
        <v>10</v>
      </c>
      <c r="F25" s="77">
        <v>500</v>
      </c>
      <c r="G25" s="77">
        <f>F25*E25</f>
        <v>5000</v>
      </c>
      <c r="H25" s="78"/>
      <c r="I25" s="87">
        <f t="shared" si="3"/>
        <v>0</v>
      </c>
      <c r="J25" s="88"/>
      <c r="K25" s="66"/>
      <c r="L25" s="66"/>
      <c r="M25" s="67"/>
      <c r="N25" s="67"/>
    </row>
    <row r="26" spans="2:14" ht="26.45" customHeight="1" x14ac:dyDescent="0.25">
      <c r="B26" s="68">
        <v>9</v>
      </c>
      <c r="C26" s="75" t="s">
        <v>46</v>
      </c>
      <c r="D26" s="76" t="s">
        <v>47</v>
      </c>
      <c r="E26" s="77">
        <v>25</v>
      </c>
      <c r="F26" s="77">
        <v>400</v>
      </c>
      <c r="G26" s="77">
        <f>F26*E26</f>
        <v>10000</v>
      </c>
      <c r="H26" s="78"/>
      <c r="I26" s="87">
        <f t="shared" si="3"/>
        <v>0</v>
      </c>
      <c r="J26" s="88"/>
      <c r="K26" s="66"/>
      <c r="L26" s="66"/>
      <c r="M26" s="67"/>
      <c r="N26" s="67"/>
    </row>
    <row r="27" spans="2:14" x14ac:dyDescent="0.25">
      <c r="B27" s="68">
        <v>10</v>
      </c>
      <c r="C27" s="75" t="s">
        <v>48</v>
      </c>
      <c r="D27" s="76" t="s">
        <v>49</v>
      </c>
      <c r="E27" s="77">
        <v>10</v>
      </c>
      <c r="F27" s="77">
        <v>400</v>
      </c>
      <c r="G27" s="77">
        <f>F27*E27</f>
        <v>4000</v>
      </c>
      <c r="H27" s="78"/>
      <c r="I27" s="87">
        <f t="shared" si="3"/>
        <v>0</v>
      </c>
      <c r="J27" s="88"/>
      <c r="K27" s="66"/>
      <c r="L27" s="66"/>
      <c r="M27" s="67"/>
      <c r="N27" s="67"/>
    </row>
    <row r="28" spans="2:14" x14ac:dyDescent="0.25">
      <c r="B28" s="68">
        <v>11</v>
      </c>
      <c r="C28" s="75" t="s">
        <v>50</v>
      </c>
      <c r="D28" s="76" t="s">
        <v>51</v>
      </c>
      <c r="E28" s="77">
        <v>10</v>
      </c>
      <c r="F28" s="77">
        <v>150</v>
      </c>
      <c r="G28" s="77">
        <f>E28*F28</f>
        <v>1500</v>
      </c>
      <c r="H28" s="78"/>
      <c r="I28" s="87">
        <f t="shared" si="3"/>
        <v>0</v>
      </c>
      <c r="J28" s="88"/>
      <c r="K28" s="66"/>
      <c r="L28" s="66"/>
      <c r="M28" s="67"/>
      <c r="N28" s="67"/>
    </row>
    <row r="29" spans="2:14" x14ac:dyDescent="0.25">
      <c r="B29" s="68">
        <v>12</v>
      </c>
      <c r="C29" s="75" t="s">
        <v>52</v>
      </c>
      <c r="D29" s="76" t="s">
        <v>53</v>
      </c>
      <c r="E29" s="77">
        <v>5</v>
      </c>
      <c r="F29" s="77">
        <v>400</v>
      </c>
      <c r="G29" s="77">
        <f t="shared" ref="G29:G37" si="4">E29*F29</f>
        <v>2000</v>
      </c>
      <c r="H29" s="81"/>
      <c r="I29" s="79">
        <f t="shared" si="3"/>
        <v>0</v>
      </c>
      <c r="J29" s="88"/>
      <c r="K29" s="66"/>
      <c r="L29" s="66"/>
      <c r="M29" s="67"/>
      <c r="N29" s="67"/>
    </row>
    <row r="30" spans="2:14" x14ac:dyDescent="0.25">
      <c r="B30" s="68">
        <v>13</v>
      </c>
      <c r="C30" s="75" t="s">
        <v>54</v>
      </c>
      <c r="D30" s="76" t="s">
        <v>55</v>
      </c>
      <c r="E30" s="77">
        <v>5</v>
      </c>
      <c r="F30" s="77">
        <v>75</v>
      </c>
      <c r="G30" s="77">
        <f t="shared" si="4"/>
        <v>375</v>
      </c>
      <c r="H30" s="81"/>
      <c r="I30" s="89">
        <f t="shared" si="3"/>
        <v>0</v>
      </c>
      <c r="J30" s="88"/>
      <c r="K30" s="66"/>
      <c r="L30" s="66"/>
      <c r="M30" s="67"/>
      <c r="N30" s="67"/>
    </row>
    <row r="31" spans="2:14" ht="15.75" x14ac:dyDescent="0.3">
      <c r="B31" s="68">
        <v>14</v>
      </c>
      <c r="C31" s="69" t="s">
        <v>56</v>
      </c>
      <c r="D31" s="90" t="s">
        <v>57</v>
      </c>
      <c r="E31" s="71">
        <v>20</v>
      </c>
      <c r="F31" s="71">
        <v>100</v>
      </c>
      <c r="G31" s="71">
        <f t="shared" si="4"/>
        <v>2000</v>
      </c>
      <c r="H31" s="78"/>
      <c r="I31" s="91">
        <f t="shared" si="3"/>
        <v>0</v>
      </c>
      <c r="J31" s="88"/>
      <c r="K31" s="66"/>
      <c r="L31" s="66"/>
      <c r="M31" s="67"/>
      <c r="N31" s="67"/>
    </row>
    <row r="32" spans="2:14" ht="15.75" x14ac:dyDescent="0.3">
      <c r="B32" s="68">
        <v>15</v>
      </c>
      <c r="C32" s="75" t="s">
        <v>58</v>
      </c>
      <c r="D32" s="77" t="s">
        <v>59</v>
      </c>
      <c r="E32" s="71">
        <v>20</v>
      </c>
      <c r="F32" s="71">
        <v>100</v>
      </c>
      <c r="G32" s="71">
        <f t="shared" si="4"/>
        <v>2000</v>
      </c>
      <c r="H32" s="78"/>
      <c r="I32" s="91">
        <f t="shared" si="3"/>
        <v>0</v>
      </c>
      <c r="J32" s="88"/>
      <c r="K32" s="66"/>
      <c r="L32" s="66"/>
      <c r="M32" s="67"/>
      <c r="N32" s="67"/>
    </row>
    <row r="33" spans="2:14" x14ac:dyDescent="0.25">
      <c r="B33" s="68">
        <v>16</v>
      </c>
      <c r="C33" s="75" t="s">
        <v>60</v>
      </c>
      <c r="D33" s="76" t="s">
        <v>61</v>
      </c>
      <c r="E33" s="77">
        <v>10</v>
      </c>
      <c r="F33" s="77">
        <v>300</v>
      </c>
      <c r="G33" s="77">
        <f t="shared" si="4"/>
        <v>3000</v>
      </c>
      <c r="H33" s="78"/>
      <c r="I33" s="87">
        <f t="shared" si="3"/>
        <v>0</v>
      </c>
      <c r="J33" s="88"/>
      <c r="K33" s="66"/>
      <c r="L33" s="66"/>
      <c r="M33" s="67"/>
      <c r="N33" s="67"/>
    </row>
    <row r="34" spans="2:14" x14ac:dyDescent="0.25">
      <c r="B34" s="68">
        <v>17</v>
      </c>
      <c r="C34" s="75" t="s">
        <v>62</v>
      </c>
      <c r="D34" s="92" t="s">
        <v>63</v>
      </c>
      <c r="E34" s="77">
        <v>10</v>
      </c>
      <c r="F34" s="77">
        <v>100</v>
      </c>
      <c r="G34" s="77">
        <f t="shared" si="4"/>
        <v>1000</v>
      </c>
      <c r="H34" s="78"/>
      <c r="I34" s="87">
        <f t="shared" si="3"/>
        <v>0</v>
      </c>
      <c r="J34" s="88"/>
      <c r="K34" s="66"/>
      <c r="L34" s="66"/>
      <c r="M34" s="67"/>
      <c r="N34" s="67"/>
    </row>
    <row r="35" spans="2:14" ht="15.75" x14ac:dyDescent="0.3">
      <c r="B35" s="68">
        <v>18</v>
      </c>
      <c r="C35" s="93" t="s">
        <v>64</v>
      </c>
      <c r="D35" s="92" t="s">
        <v>65</v>
      </c>
      <c r="E35" s="77">
        <v>5</v>
      </c>
      <c r="F35" s="77">
        <v>100</v>
      </c>
      <c r="G35" s="77">
        <f t="shared" si="4"/>
        <v>500</v>
      </c>
      <c r="H35" s="78"/>
      <c r="I35" s="87">
        <f t="shared" si="3"/>
        <v>0</v>
      </c>
      <c r="J35" s="88"/>
      <c r="K35" s="66"/>
      <c r="L35" s="66"/>
      <c r="M35" s="67"/>
      <c r="N35" s="67"/>
    </row>
    <row r="36" spans="2:14" x14ac:dyDescent="0.25">
      <c r="B36" s="68">
        <v>19</v>
      </c>
      <c r="C36" s="75" t="s">
        <v>66</v>
      </c>
      <c r="D36" s="90" t="s">
        <v>67</v>
      </c>
      <c r="E36" s="77">
        <v>5</v>
      </c>
      <c r="F36" s="77">
        <v>50</v>
      </c>
      <c r="G36" s="77">
        <f t="shared" si="4"/>
        <v>250</v>
      </c>
      <c r="H36" s="78"/>
      <c r="I36" s="87">
        <f t="shared" si="3"/>
        <v>0</v>
      </c>
      <c r="J36" s="88"/>
      <c r="K36" s="66"/>
      <c r="L36" s="66"/>
      <c r="M36" s="67"/>
      <c r="N36" s="67"/>
    </row>
    <row r="37" spans="2:14" ht="15.75" x14ac:dyDescent="0.3">
      <c r="B37" s="68">
        <v>20</v>
      </c>
      <c r="C37" s="93" t="s">
        <v>68</v>
      </c>
      <c r="D37" s="94" t="s">
        <v>69</v>
      </c>
      <c r="E37" s="77">
        <v>5</v>
      </c>
      <c r="F37" s="77">
        <v>25</v>
      </c>
      <c r="G37" s="77">
        <f t="shared" si="4"/>
        <v>125</v>
      </c>
      <c r="H37" s="78"/>
      <c r="I37" s="87">
        <f t="shared" si="3"/>
        <v>0</v>
      </c>
      <c r="J37" s="88"/>
      <c r="K37" s="66"/>
      <c r="L37" s="66"/>
      <c r="M37" s="67"/>
      <c r="N37" s="67"/>
    </row>
    <row r="38" spans="2:14" ht="15.75" x14ac:dyDescent="0.3">
      <c r="B38" s="95">
        <v>21</v>
      </c>
      <c r="C38" s="96" t="s">
        <v>70</v>
      </c>
      <c r="D38" s="97"/>
      <c r="E38" s="98" t="s">
        <v>71</v>
      </c>
      <c r="F38" s="98"/>
      <c r="G38" s="98">
        <v>150</v>
      </c>
      <c r="H38" s="99"/>
      <c r="I38" s="100">
        <f>G38*H38</f>
        <v>0</v>
      </c>
      <c r="J38" s="88"/>
      <c r="K38" s="66"/>
      <c r="L38" s="66"/>
      <c r="M38" s="67"/>
      <c r="N38" s="67"/>
    </row>
    <row r="39" spans="2:14" ht="15.75" x14ac:dyDescent="0.3">
      <c r="B39" s="95">
        <v>22</v>
      </c>
      <c r="C39" s="96" t="s">
        <v>72</v>
      </c>
      <c r="D39" s="97"/>
      <c r="E39" s="98">
        <v>25</v>
      </c>
      <c r="F39" s="98">
        <v>10</v>
      </c>
      <c r="G39" s="98">
        <f>E39*F39</f>
        <v>250</v>
      </c>
      <c r="H39" s="99"/>
      <c r="I39" s="100">
        <f t="shared" ref="I39:I42" si="5">G39*H39</f>
        <v>0</v>
      </c>
      <c r="J39" s="88"/>
      <c r="K39" s="66"/>
      <c r="L39" s="66"/>
      <c r="M39" s="67"/>
      <c r="N39" s="67"/>
    </row>
    <row r="40" spans="2:14" ht="15.75" x14ac:dyDescent="0.3">
      <c r="B40" s="68">
        <v>23</v>
      </c>
      <c r="C40" s="93" t="s">
        <v>73</v>
      </c>
      <c r="D40" s="92"/>
      <c r="E40" s="77" t="s">
        <v>74</v>
      </c>
      <c r="F40" s="77"/>
      <c r="G40" s="77">
        <v>60</v>
      </c>
      <c r="H40" s="78"/>
      <c r="I40" s="87">
        <f t="shared" si="5"/>
        <v>0</v>
      </c>
      <c r="J40" s="88"/>
      <c r="K40" s="66"/>
      <c r="L40" s="66"/>
      <c r="M40" s="67"/>
      <c r="N40" s="67"/>
    </row>
    <row r="41" spans="2:14" ht="15.75" x14ac:dyDescent="0.3">
      <c r="B41" s="68">
        <v>24</v>
      </c>
      <c r="C41" s="93" t="s">
        <v>75</v>
      </c>
      <c r="D41" s="92"/>
      <c r="E41" s="77">
        <v>5</v>
      </c>
      <c r="F41" s="77">
        <v>20</v>
      </c>
      <c r="G41" s="77">
        <f>E41*F41</f>
        <v>100</v>
      </c>
      <c r="H41" s="78"/>
      <c r="I41" s="87">
        <f t="shared" si="5"/>
        <v>0</v>
      </c>
      <c r="J41" s="88"/>
      <c r="K41" s="66"/>
      <c r="L41" s="66"/>
      <c r="M41" s="67"/>
      <c r="N41" s="67"/>
    </row>
    <row r="42" spans="2:14" ht="15.75" x14ac:dyDescent="0.3">
      <c r="B42" s="68">
        <v>25</v>
      </c>
      <c r="C42" s="93" t="s">
        <v>76</v>
      </c>
      <c r="D42" s="92"/>
      <c r="E42" s="77">
        <v>5</v>
      </c>
      <c r="F42" s="77">
        <v>20</v>
      </c>
      <c r="G42" s="77">
        <f>E42*F42</f>
        <v>100</v>
      </c>
      <c r="H42" s="78"/>
      <c r="I42" s="87">
        <f t="shared" si="5"/>
        <v>0</v>
      </c>
      <c r="J42" s="88"/>
      <c r="K42" s="66"/>
      <c r="L42" s="66"/>
      <c r="M42" s="67"/>
      <c r="N42" s="67"/>
    </row>
    <row r="43" spans="2:14" ht="15.75" x14ac:dyDescent="0.3">
      <c r="B43" s="101">
        <v>26</v>
      </c>
      <c r="C43" s="102" t="s">
        <v>77</v>
      </c>
      <c r="D43" s="103"/>
      <c r="E43" s="104">
        <v>24</v>
      </c>
      <c r="F43" s="104">
        <v>9</v>
      </c>
      <c r="G43" s="104">
        <f>E43*F43</f>
        <v>216</v>
      </c>
      <c r="H43" s="105"/>
      <c r="I43" s="106">
        <f>G43*H43</f>
        <v>0</v>
      </c>
      <c r="J43" s="88"/>
      <c r="K43" s="66"/>
      <c r="L43" s="66"/>
      <c r="M43" s="67"/>
      <c r="N43" s="67"/>
    </row>
    <row r="44" spans="2:14" ht="15.75" x14ac:dyDescent="0.3">
      <c r="B44" s="101">
        <v>27</v>
      </c>
      <c r="C44" s="102" t="s">
        <v>78</v>
      </c>
      <c r="D44" s="103"/>
      <c r="E44" s="104">
        <v>32</v>
      </c>
      <c r="F44" s="104">
        <v>7</v>
      </c>
      <c r="G44" s="104">
        <f>E44*F44</f>
        <v>224</v>
      </c>
      <c r="H44" s="105"/>
      <c r="I44" s="106">
        <f>G44*H44</f>
        <v>0</v>
      </c>
      <c r="J44" s="88"/>
      <c r="K44" s="66"/>
      <c r="L44" s="66"/>
      <c r="M44" s="67"/>
      <c r="N44" s="67"/>
    </row>
    <row r="45" spans="2:14" x14ac:dyDescent="0.25">
      <c r="B45" s="107">
        <v>28</v>
      </c>
      <c r="C45" s="108" t="s">
        <v>79</v>
      </c>
      <c r="D45" s="109"/>
      <c r="E45" s="110">
        <v>25</v>
      </c>
      <c r="F45" s="110">
        <v>150</v>
      </c>
      <c r="G45" s="110">
        <f>E45*F45</f>
        <v>3750</v>
      </c>
      <c r="H45" s="111"/>
      <c r="I45" s="112">
        <f>G45*H45</f>
        <v>0</v>
      </c>
      <c r="J45" s="113"/>
      <c r="K45" s="66"/>
      <c r="L45" s="66"/>
      <c r="M45" s="67"/>
      <c r="N45" s="67"/>
    </row>
    <row r="46" spans="2:14" x14ac:dyDescent="0.25">
      <c r="B46" s="107">
        <v>29</v>
      </c>
      <c r="C46" s="108" t="s">
        <v>80</v>
      </c>
      <c r="D46" s="109" t="s">
        <v>81</v>
      </c>
      <c r="E46" s="110">
        <v>25</v>
      </c>
      <c r="F46" s="110">
        <v>2000</v>
      </c>
      <c r="G46" s="110">
        <f>F46*E46</f>
        <v>50000</v>
      </c>
      <c r="H46" s="111"/>
      <c r="I46" s="112">
        <f>G46*H46</f>
        <v>0</v>
      </c>
      <c r="J46" s="113"/>
      <c r="K46" s="66"/>
      <c r="L46" s="66"/>
      <c r="M46" s="67"/>
      <c r="N46" s="67"/>
    </row>
    <row r="47" spans="2:14" ht="15.75" x14ac:dyDescent="0.3">
      <c r="B47" s="101">
        <v>30</v>
      </c>
      <c r="C47" s="114" t="s">
        <v>82</v>
      </c>
      <c r="D47" s="115"/>
      <c r="E47" s="104" t="s">
        <v>83</v>
      </c>
      <c r="F47" s="104"/>
      <c r="G47" s="104">
        <v>300</v>
      </c>
      <c r="H47" s="116"/>
      <c r="I47" s="117">
        <f>G47*H47</f>
        <v>0</v>
      </c>
      <c r="J47" s="118" t="s">
        <v>84</v>
      </c>
      <c r="K47" s="66"/>
      <c r="L47" s="66"/>
      <c r="M47" s="67"/>
      <c r="N47" s="67"/>
    </row>
    <row r="48" spans="2:14" ht="15.75" x14ac:dyDescent="0.3">
      <c r="B48" s="119"/>
      <c r="C48" s="120"/>
      <c r="D48" s="121"/>
      <c r="E48" s="122"/>
      <c r="F48" s="122"/>
      <c r="G48" s="123"/>
      <c r="H48" s="124"/>
      <c r="I48" s="125"/>
      <c r="J48" s="126"/>
      <c r="K48" s="66"/>
      <c r="L48" s="66"/>
      <c r="M48" s="67"/>
      <c r="N48" s="67"/>
    </row>
    <row r="49" spans="2:18" ht="26.25" x14ac:dyDescent="0.4">
      <c r="B49" s="127" t="s">
        <v>85</v>
      </c>
      <c r="C49" s="128" t="s">
        <v>86</v>
      </c>
      <c r="D49" s="129"/>
      <c r="E49" s="130"/>
      <c r="F49" s="131"/>
      <c r="G49" s="131"/>
      <c r="H49" s="131"/>
      <c r="I49" s="131"/>
      <c r="J49" s="132"/>
      <c r="K49" s="133"/>
      <c r="L49" s="134"/>
      <c r="M49" s="134"/>
      <c r="N49" s="134"/>
      <c r="O49" s="134"/>
      <c r="P49" s="135"/>
      <c r="Q49" s="136"/>
      <c r="R49" s="137"/>
    </row>
    <row r="50" spans="2:18" ht="17.25" thickBot="1" x14ac:dyDescent="0.3">
      <c r="B50" s="138"/>
      <c r="C50" s="139"/>
      <c r="D50" s="140"/>
      <c r="E50" s="140"/>
      <c r="F50" s="140"/>
      <c r="G50" s="141" t="s">
        <v>87</v>
      </c>
      <c r="H50" s="142"/>
      <c r="I50" s="143">
        <f>SUM(I18:I47)</f>
        <v>0</v>
      </c>
      <c r="J50" s="144"/>
    </row>
    <row r="51" spans="2:18" ht="15.6" customHeight="1" thickBot="1" x14ac:dyDescent="0.35">
      <c r="B51" s="145" t="s">
        <v>88</v>
      </c>
      <c r="C51" s="146"/>
      <c r="D51" s="147"/>
      <c r="E51" s="148"/>
      <c r="F51" s="148"/>
      <c r="G51" s="149"/>
      <c r="H51" s="150"/>
      <c r="I51" s="151"/>
      <c r="J51" s="152"/>
    </row>
    <row r="52" spans="2:18" ht="15.75" x14ac:dyDescent="0.3">
      <c r="B52" s="153"/>
      <c r="C52" s="154"/>
      <c r="D52" s="155"/>
      <c r="E52" s="156"/>
      <c r="F52" s="156"/>
      <c r="G52" s="157"/>
      <c r="H52" s="157"/>
      <c r="I52" s="158"/>
      <c r="J52" s="159"/>
    </row>
    <row r="53" spans="2:18" x14ac:dyDescent="0.25">
      <c r="B53" s="160" t="s">
        <v>89</v>
      </c>
      <c r="C53" s="161"/>
      <c r="D53" s="162"/>
      <c r="E53" s="162"/>
      <c r="F53" s="162"/>
      <c r="G53" s="163"/>
      <c r="H53" s="164"/>
      <c r="I53" s="165"/>
      <c r="J53" s="166"/>
    </row>
    <row r="54" spans="2:18" ht="15.75" x14ac:dyDescent="0.3">
      <c r="B54" s="167" t="s">
        <v>90</v>
      </c>
      <c r="C54" s="39"/>
      <c r="D54" s="40"/>
      <c r="E54" s="168"/>
      <c r="F54" s="162" t="s">
        <v>91</v>
      </c>
      <c r="G54" s="169"/>
      <c r="H54" s="170"/>
      <c r="I54" s="171"/>
      <c r="J54" s="172"/>
    </row>
    <row r="55" spans="2:18" ht="15.75" x14ac:dyDescent="0.3">
      <c r="B55" s="173" t="s">
        <v>92</v>
      </c>
      <c r="C55" s="174"/>
      <c r="D55" s="175"/>
      <c r="E55" s="175"/>
      <c r="F55" s="176"/>
      <c r="G55" s="169"/>
      <c r="H55" s="170"/>
      <c r="I55" s="177"/>
      <c r="J55" s="172"/>
    </row>
    <row r="56" spans="2:18" ht="15.75" x14ac:dyDescent="0.3">
      <c r="B56" s="173"/>
      <c r="C56" s="174"/>
      <c r="D56" s="175"/>
      <c r="E56" s="175"/>
      <c r="F56" s="176"/>
      <c r="G56" s="170" t="s">
        <v>93</v>
      </c>
      <c r="H56" s="171"/>
      <c r="I56" s="177"/>
      <c r="J56" s="172"/>
    </row>
    <row r="57" spans="2:18" ht="15.75" x14ac:dyDescent="0.3">
      <c r="B57" s="178"/>
      <c r="C57" s="174"/>
      <c r="D57" s="175" t="s">
        <v>94</v>
      </c>
      <c r="E57" s="176"/>
      <c r="F57" s="169"/>
      <c r="G57" s="170" t="s">
        <v>95</v>
      </c>
      <c r="H57" s="171"/>
      <c r="I57" s="177"/>
      <c r="J57" s="172"/>
    </row>
    <row r="58" spans="2:18" ht="15.75" x14ac:dyDescent="0.3">
      <c r="B58" s="178"/>
      <c r="C58" s="174"/>
      <c r="D58" s="175" t="s">
        <v>96</v>
      </c>
      <c r="E58" s="176"/>
      <c r="F58" s="169"/>
      <c r="G58" s="170" t="s">
        <v>97</v>
      </c>
      <c r="H58" s="171"/>
      <c r="I58" s="177"/>
      <c r="J58" s="172"/>
    </row>
    <row r="59" spans="2:18" ht="15.75" x14ac:dyDescent="0.3">
      <c r="B59" s="178"/>
      <c r="C59" s="174"/>
      <c r="D59" s="175" t="s">
        <v>98</v>
      </c>
      <c r="E59" s="176"/>
      <c r="F59" s="169"/>
      <c r="G59" s="170" t="s">
        <v>99</v>
      </c>
      <c r="H59" s="171"/>
      <c r="I59" s="177"/>
      <c r="J59" s="172"/>
    </row>
    <row r="60" spans="2:18" ht="15.75" x14ac:dyDescent="0.3">
      <c r="B60" s="178"/>
      <c r="C60" s="174"/>
      <c r="D60" s="175" t="s">
        <v>100</v>
      </c>
      <c r="E60" s="176"/>
      <c r="F60" s="169"/>
      <c r="G60" s="170" t="s">
        <v>101</v>
      </c>
      <c r="H60" s="171"/>
      <c r="I60" s="177"/>
      <c r="J60" s="172"/>
    </row>
    <row r="61" spans="2:18" ht="15.75" x14ac:dyDescent="0.3">
      <c r="B61" s="178"/>
      <c r="C61" s="174"/>
      <c r="D61" s="175" t="s">
        <v>102</v>
      </c>
      <c r="E61" s="176"/>
      <c r="F61" s="169"/>
      <c r="G61" s="170" t="s">
        <v>103</v>
      </c>
      <c r="H61" s="171"/>
      <c r="I61" s="177"/>
      <c r="J61" s="172"/>
    </row>
    <row r="62" spans="2:18" ht="15.75" x14ac:dyDescent="0.3">
      <c r="B62" s="178"/>
      <c r="C62" s="174"/>
      <c r="D62" s="175" t="s">
        <v>104</v>
      </c>
      <c r="E62" s="176"/>
      <c r="F62" s="169"/>
      <c r="G62" s="170" t="s">
        <v>105</v>
      </c>
      <c r="H62" s="171"/>
      <c r="I62" s="177"/>
      <c r="J62" s="172"/>
    </row>
    <row r="63" spans="2:18" ht="15.75" x14ac:dyDescent="0.3">
      <c r="B63" s="178"/>
      <c r="C63" s="174"/>
      <c r="D63" s="175" t="s">
        <v>106</v>
      </c>
      <c r="E63" s="176"/>
      <c r="F63" s="169"/>
      <c r="G63" s="170"/>
      <c r="H63" s="171"/>
      <c r="I63" s="171"/>
      <c r="J63" s="172"/>
    </row>
    <row r="64" spans="2:18" ht="15.75" x14ac:dyDescent="0.3">
      <c r="B64" s="173" t="s">
        <v>107</v>
      </c>
      <c r="C64" s="174"/>
      <c r="D64" s="175"/>
      <c r="E64" s="175"/>
      <c r="F64" s="176" t="s">
        <v>108</v>
      </c>
      <c r="G64" s="169"/>
      <c r="H64" s="170"/>
      <c r="I64" s="179"/>
      <c r="J64" s="180"/>
    </row>
    <row r="65" spans="2:11" ht="15.75" x14ac:dyDescent="0.3">
      <c r="B65" s="173" t="s">
        <v>109</v>
      </c>
      <c r="C65" s="174"/>
      <c r="D65" s="175"/>
      <c r="E65" s="175"/>
      <c r="F65" s="181" t="s">
        <v>110</v>
      </c>
      <c r="G65" s="169"/>
      <c r="H65" s="170"/>
      <c r="I65" s="179"/>
      <c r="J65" s="180"/>
    </row>
    <row r="66" spans="2:11" ht="15.75" x14ac:dyDescent="0.3">
      <c r="B66" s="173"/>
      <c r="C66" s="174"/>
      <c r="D66" s="175"/>
      <c r="E66" s="175"/>
      <c r="F66" s="181"/>
      <c r="G66" s="169"/>
      <c r="H66" s="170"/>
      <c r="I66" s="182"/>
      <c r="J66" s="183"/>
    </row>
    <row r="67" spans="2:11" ht="15.75" x14ac:dyDescent="0.3">
      <c r="B67" s="173" t="s">
        <v>111</v>
      </c>
      <c r="C67" s="174"/>
      <c r="D67" s="175"/>
      <c r="E67" s="175"/>
      <c r="F67" s="176" t="s">
        <v>112</v>
      </c>
      <c r="G67" s="175"/>
      <c r="H67" s="184"/>
      <c r="I67" s="182"/>
      <c r="J67" s="183"/>
    </row>
    <row r="68" spans="2:11" ht="15.75" x14ac:dyDescent="0.3">
      <c r="B68" s="173"/>
      <c r="C68" s="174"/>
      <c r="D68" s="175"/>
      <c r="E68" s="175"/>
      <c r="F68" s="185"/>
      <c r="G68" s="175"/>
      <c r="H68" s="184"/>
      <c r="I68" s="179"/>
      <c r="J68" s="180"/>
    </row>
    <row r="69" spans="2:11" ht="15.75" x14ac:dyDescent="0.3">
      <c r="B69" s="173" t="s">
        <v>113</v>
      </c>
      <c r="C69" s="174"/>
      <c r="D69" s="175"/>
      <c r="E69" s="175"/>
      <c r="F69" s="185" t="s">
        <v>114</v>
      </c>
      <c r="G69" s="169"/>
      <c r="H69" s="170"/>
      <c r="I69" s="179"/>
      <c r="J69" s="180"/>
    </row>
    <row r="70" spans="2:11" ht="15.75" x14ac:dyDescent="0.3">
      <c r="B70" s="173"/>
      <c r="C70" s="174"/>
      <c r="D70" s="175"/>
      <c r="E70" s="175"/>
      <c r="F70" s="181"/>
      <c r="G70" s="169"/>
      <c r="H70" s="170"/>
      <c r="I70" s="179"/>
      <c r="J70" s="180"/>
    </row>
    <row r="71" spans="2:11" ht="15.75" x14ac:dyDescent="0.3">
      <c r="B71" s="173" t="s">
        <v>115</v>
      </c>
      <c r="C71" s="174"/>
      <c r="D71" s="175"/>
      <c r="E71" s="175"/>
      <c r="F71" s="176" t="s">
        <v>116</v>
      </c>
      <c r="G71" s="169"/>
      <c r="H71" s="170"/>
      <c r="I71" s="179"/>
      <c r="J71" s="180"/>
    </row>
    <row r="72" spans="2:11" ht="15.75" x14ac:dyDescent="0.3">
      <c r="B72" s="173"/>
      <c r="C72" s="174"/>
      <c r="D72" s="175"/>
      <c r="E72" s="186">
        <v>46266</v>
      </c>
      <c r="F72" s="176"/>
      <c r="G72" s="169"/>
      <c r="H72" s="170"/>
      <c r="I72" s="187"/>
      <c r="J72" s="188"/>
    </row>
    <row r="73" spans="2:11" ht="16.5" thickBot="1" x14ac:dyDescent="0.35">
      <c r="B73" s="189" t="s">
        <v>117</v>
      </c>
      <c r="C73" s="39"/>
      <c r="D73" s="40"/>
      <c r="E73" s="40"/>
      <c r="F73" s="190"/>
      <c r="I73" s="191"/>
      <c r="J73" s="192" t="s">
        <v>14</v>
      </c>
      <c r="K73" s="193"/>
    </row>
    <row r="74" spans="2:11" ht="15.75" x14ac:dyDescent="0.3">
      <c r="B74" s="194"/>
      <c r="C74" s="195"/>
      <c r="D74" s="196"/>
      <c r="E74" s="196"/>
      <c r="F74" s="197"/>
      <c r="G74" s="198"/>
      <c r="H74" s="198"/>
      <c r="I74" s="198"/>
      <c r="J74" s="199"/>
    </row>
    <row r="75" spans="2:11" ht="15.75" x14ac:dyDescent="0.3">
      <c r="B75" s="189"/>
      <c r="C75" s="39"/>
      <c r="D75" s="40"/>
      <c r="E75" s="40"/>
      <c r="F75" s="40"/>
      <c r="G75" s="168"/>
      <c r="H75" s="200"/>
      <c r="I75" s="201" t="s">
        <v>116</v>
      </c>
      <c r="J75" s="202"/>
    </row>
    <row r="76" spans="2:11" ht="15.75" x14ac:dyDescent="0.3">
      <c r="B76" s="189"/>
      <c r="C76" s="203"/>
      <c r="D76" s="168"/>
      <c r="E76" s="40"/>
      <c r="F76" s="40"/>
      <c r="G76" s="168"/>
      <c r="H76" s="168"/>
      <c r="I76" s="40"/>
      <c r="J76" s="204"/>
    </row>
    <row r="77" spans="2:11" ht="15.75" x14ac:dyDescent="0.3">
      <c r="B77" s="189"/>
      <c r="C77" s="203"/>
      <c r="D77" s="168"/>
      <c r="E77" s="40"/>
      <c r="F77" s="40"/>
      <c r="G77" s="40"/>
      <c r="H77" s="40"/>
      <c r="I77" s="205" t="s">
        <v>118</v>
      </c>
      <c r="J77" s="206"/>
    </row>
    <row r="78" spans="2:11" ht="16.5" thickBot="1" x14ac:dyDescent="0.35">
      <c r="B78" s="207"/>
      <c r="C78" s="208"/>
      <c r="D78" s="209"/>
      <c r="E78" s="210"/>
      <c r="F78" s="210"/>
      <c r="G78" s="211"/>
      <c r="H78" s="211" t="s">
        <v>119</v>
      </c>
      <c r="I78" s="211"/>
      <c r="J78" s="212"/>
    </row>
  </sheetData>
  <mergeCells count="30">
    <mergeCell ref="J45:J46"/>
    <mergeCell ref="G50:H50"/>
    <mergeCell ref="B51:C51"/>
    <mergeCell ref="I75:J75"/>
    <mergeCell ref="I77:J77"/>
    <mergeCell ref="H16:H17"/>
    <mergeCell ref="I16:I17"/>
    <mergeCell ref="J16:J17"/>
    <mergeCell ref="J18:J20"/>
    <mergeCell ref="J22:J23"/>
    <mergeCell ref="J24:J44"/>
    <mergeCell ref="B16:B17"/>
    <mergeCell ref="C16:C17"/>
    <mergeCell ref="D16:D17"/>
    <mergeCell ref="E16:E17"/>
    <mergeCell ref="F16:F17"/>
    <mergeCell ref="G16:G17"/>
    <mergeCell ref="F8:J8"/>
    <mergeCell ref="F9:J9"/>
    <mergeCell ref="F10:J10"/>
    <mergeCell ref="B11:J11"/>
    <mergeCell ref="B13:J14"/>
    <mergeCell ref="E15:F15"/>
    <mergeCell ref="H15:J15"/>
    <mergeCell ref="B2:J2"/>
    <mergeCell ref="F3:J3"/>
    <mergeCell ref="F4:J4"/>
    <mergeCell ref="F5:J5"/>
    <mergeCell ref="F6:J6"/>
    <mergeCell ref="F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 PI 088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kwikpatch</dc:creator>
  <cp:lastModifiedBy>kwikpatch</cp:lastModifiedBy>
  <dcterms:created xsi:type="dcterms:W3CDTF">2026-10-12T08:19:19Z</dcterms:created>
  <dcterms:modified xsi:type="dcterms:W3CDTF">2026-10-12T08:19:37Z</dcterms:modified>
</cp:coreProperties>
</file>